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7E87DD6A-C713-43D6-B89B-BEC8B808411F}" xr6:coauthVersionLast="47" xr6:coauthVersionMax="47" xr10:uidLastSave="{00000000-0000-0000-0000-000000000000}"/>
  <bookViews>
    <workbookView xWindow="-108" yWindow="-108" windowWidth="23256" windowHeight="12456" firstSheet="2" activeTab="3"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0" i="20" l="1"/>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s="1"/>
  <c r="N11" i="20"/>
  <c r="E6" i="20" s="1"/>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N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O65" i="19"/>
  <c r="N65" i="19"/>
  <c r="K65"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C55" i="19"/>
  <c r="O54" i="19"/>
  <c r="N54" i="19"/>
  <c r="K54" i="19"/>
  <c r="C54" i="19"/>
  <c r="O53" i="19"/>
  <c r="N53" i="19"/>
  <c r="K53" i="19"/>
  <c r="C53" i="19"/>
  <c r="O52" i="19"/>
  <c r="N52" i="19"/>
  <c r="K52" i="19"/>
  <c r="C52" i="19"/>
  <c r="O51" i="19"/>
  <c r="N51" i="19"/>
  <c r="K51" i="19"/>
  <c r="C51" i="19"/>
  <c r="O50" i="19"/>
  <c r="N50" i="19"/>
  <c r="K50" i="19"/>
  <c r="C50" i="19"/>
  <c r="O49" i="19"/>
  <c r="N49" i="19"/>
  <c r="K49" i="19"/>
  <c r="C49" i="19"/>
  <c r="O48" i="19"/>
  <c r="N48" i="19"/>
  <c r="K48" i="19"/>
  <c r="C48" i="19"/>
  <c r="O47" i="19"/>
  <c r="N47" i="19"/>
  <c r="K47" i="19"/>
  <c r="C47" i="19"/>
  <c r="O46" i="19"/>
  <c r="N46" i="19"/>
  <c r="K46" i="19"/>
  <c r="C46" i="19"/>
  <c r="O45" i="19"/>
  <c r="N45" i="19"/>
  <c r="K45" i="19"/>
  <c r="C45" i="19"/>
  <c r="O44" i="19"/>
  <c r="N44" i="19"/>
  <c r="K44" i="19"/>
  <c r="C44" i="19"/>
  <c r="O43" i="19"/>
  <c r="N43" i="19"/>
  <c r="K43" i="19"/>
  <c r="C43" i="19"/>
  <c r="O42" i="19"/>
  <c r="N42" i="19"/>
  <c r="K42" i="19"/>
  <c r="C42" i="19"/>
  <c r="O41" i="19"/>
  <c r="N41" i="19"/>
  <c r="K41" i="19"/>
  <c r="C41" i="19"/>
  <c r="O40" i="19"/>
  <c r="N40" i="19"/>
  <c r="K40" i="19"/>
  <c r="C40" i="19"/>
  <c r="O39" i="19"/>
  <c r="N39" i="19"/>
  <c r="K39" i="19"/>
  <c r="C39" i="19"/>
  <c r="O38" i="19"/>
  <c r="N38" i="19"/>
  <c r="K38" i="19"/>
  <c r="C38" i="19"/>
  <c r="O37" i="19"/>
  <c r="N37" i="19"/>
  <c r="K37" i="19"/>
  <c r="C37" i="19"/>
  <c r="O36" i="19"/>
  <c r="N36" i="19"/>
  <c r="K36" i="19"/>
  <c r="C36" i="19"/>
  <c r="O35" i="19"/>
  <c r="N35" i="19"/>
  <c r="K35" i="19"/>
  <c r="C35" i="19"/>
  <c r="O34" i="19"/>
  <c r="N34" i="19"/>
  <c r="K34" i="19"/>
  <c r="C34" i="19"/>
  <c r="O33" i="19"/>
  <c r="N33" i="19"/>
  <c r="K33" i="19"/>
  <c r="C33" i="19"/>
  <c r="O32" i="19"/>
  <c r="N32" i="19"/>
  <c r="K32" i="19"/>
  <c r="C32" i="19"/>
  <c r="O31" i="19"/>
  <c r="N31" i="19"/>
  <c r="K31" i="19"/>
  <c r="C31" i="19"/>
  <c r="O30" i="19"/>
  <c r="N30" i="19"/>
  <c r="K30" i="19"/>
  <c r="C30" i="19"/>
  <c r="O29" i="19"/>
  <c r="N29" i="19"/>
  <c r="K29" i="19"/>
  <c r="C29" i="19"/>
  <c r="O28" i="19"/>
  <c r="N28" i="19"/>
  <c r="K28" i="19"/>
  <c r="C28" i="19"/>
  <c r="O27" i="19"/>
  <c r="N27" i="19"/>
  <c r="K27" i="19"/>
  <c r="C27" i="19"/>
  <c r="O26" i="19"/>
  <c r="N26" i="19"/>
  <c r="K26" i="19"/>
  <c r="C26" i="19"/>
  <c r="O25" i="19"/>
  <c r="N25" i="19"/>
  <c r="K25" i="19"/>
  <c r="C25" i="19"/>
  <c r="O24" i="19"/>
  <c r="N24" i="19"/>
  <c r="K24" i="19"/>
  <c r="C24" i="19"/>
  <c r="O23" i="19"/>
  <c r="N23" i="19"/>
  <c r="K23" i="19"/>
  <c r="C23" i="19"/>
  <c r="O22" i="19"/>
  <c r="N22" i="19"/>
  <c r="K22" i="19"/>
  <c r="C22" i="19"/>
  <c r="O21" i="19"/>
  <c r="N21" i="19"/>
  <c r="K21" i="19"/>
  <c r="C21" i="19"/>
  <c r="O20" i="19"/>
  <c r="N20" i="19"/>
  <c r="K20" i="19"/>
  <c r="C20" i="19"/>
  <c r="O19" i="19"/>
  <c r="N19" i="19"/>
  <c r="K19" i="19"/>
  <c r="C19" i="19"/>
  <c r="O18" i="19"/>
  <c r="N18" i="19"/>
  <c r="K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N11" i="19"/>
  <c r="K11" i="19"/>
  <c r="C11" i="19"/>
  <c r="C12" i="14"/>
  <c r="K12" i="14"/>
  <c r="N12" i="14"/>
  <c r="O12" i="14"/>
  <c r="C13" i="14"/>
  <c r="K13" i="14"/>
  <c r="N13" i="14"/>
  <c r="O13" i="14"/>
  <c r="C14" i="14"/>
  <c r="K14" i="14"/>
  <c r="N14" i="14"/>
  <c r="O14" i="14"/>
  <c r="C15" i="14"/>
  <c r="K15" i="14"/>
  <c r="N15" i="14"/>
  <c r="O15" i="14"/>
  <c r="C16" i="14"/>
  <c r="K16" i="14"/>
  <c r="N16" i="14"/>
  <c r="O16" i="14"/>
  <c r="C17" i="14"/>
  <c r="K17" i="14"/>
  <c r="N17" i="14"/>
  <c r="O17" i="14"/>
  <c r="C18" i="14"/>
  <c r="K18" i="14"/>
  <c r="N18" i="14"/>
  <c r="O18" i="14"/>
  <c r="C19" i="14"/>
  <c r="K19" i="14"/>
  <c r="N19" i="14"/>
  <c r="O19" i="14"/>
  <c r="C20" i="14"/>
  <c r="K20" i="14"/>
  <c r="N20" i="14"/>
  <c r="O20" i="14"/>
  <c r="C21" i="14"/>
  <c r="K21" i="14"/>
  <c r="N21" i="14"/>
  <c r="O21" i="14"/>
  <c r="C22" i="14"/>
  <c r="K22" i="14"/>
  <c r="N22" i="14"/>
  <c r="O22" i="14"/>
  <c r="C23" i="14"/>
  <c r="K23" i="14"/>
  <c r="N23" i="14"/>
  <c r="O23" i="14"/>
  <c r="C24" i="14"/>
  <c r="K24" i="14"/>
  <c r="N24" i="14"/>
  <c r="O24" i="14"/>
  <c r="C25" i="14"/>
  <c r="K25" i="14"/>
  <c r="N25" i="14"/>
  <c r="O25" i="14"/>
  <c r="C26" i="14"/>
  <c r="K26" i="14"/>
  <c r="N26" i="14"/>
  <c r="O26" i="14"/>
  <c r="C27" i="14"/>
  <c r="K27" i="14"/>
  <c r="N27" i="14"/>
  <c r="O27" i="14"/>
  <c r="C28" i="14"/>
  <c r="K28" i="14"/>
  <c r="N28" i="14"/>
  <c r="O28" i="14"/>
  <c r="C29" i="14"/>
  <c r="K29" i="14"/>
  <c r="N29" i="14"/>
  <c r="O29" i="14"/>
  <c r="C30" i="14"/>
  <c r="K30" i="14"/>
  <c r="N30" i="14"/>
  <c r="O30" i="14"/>
  <c r="C31" i="14"/>
  <c r="K31" i="14"/>
  <c r="N31" i="14"/>
  <c r="O31" i="14"/>
  <c r="C32" i="14"/>
  <c r="K32" i="14"/>
  <c r="N32" i="14"/>
  <c r="O32" i="14"/>
  <c r="C33" i="14"/>
  <c r="K33" i="14"/>
  <c r="N33" i="14"/>
  <c r="O33" i="14"/>
  <c r="C34" i="14"/>
  <c r="K34" i="14"/>
  <c r="N34" i="14"/>
  <c r="O34" i="14"/>
  <c r="C35" i="14"/>
  <c r="K35" i="14"/>
  <c r="N35" i="14"/>
  <c r="O35" i="14"/>
  <c r="C36" i="14"/>
  <c r="K36" i="14"/>
  <c r="N36" i="14"/>
  <c r="O36" i="14"/>
  <c r="C37" i="14"/>
  <c r="K37" i="14"/>
  <c r="N37" i="14"/>
  <c r="O37" i="14"/>
  <c r="C38" i="14"/>
  <c r="K38" i="14"/>
  <c r="N38" i="14"/>
  <c r="O38" i="14"/>
  <c r="C39" i="14"/>
  <c r="K39" i="14"/>
  <c r="N39" i="14"/>
  <c r="O39" i="14"/>
  <c r="C40" i="14"/>
  <c r="K40" i="14"/>
  <c r="N40" i="14"/>
  <c r="O40" i="14"/>
  <c r="C41" i="14"/>
  <c r="K41" i="14"/>
  <c r="N41" i="14"/>
  <c r="O41" i="14"/>
  <c r="C42" i="14"/>
  <c r="K42" i="14"/>
  <c r="N42" i="14"/>
  <c r="O42" i="14"/>
  <c r="C43" i="14"/>
  <c r="K43" i="14"/>
  <c r="N43" i="14"/>
  <c r="O43" i="14"/>
  <c r="C44" i="14"/>
  <c r="K44" i="14"/>
  <c r="N44" i="14"/>
  <c r="O44" i="14"/>
  <c r="C45" i="14"/>
  <c r="K45" i="14"/>
  <c r="N45" i="14"/>
  <c r="O45" i="14"/>
  <c r="C46" i="14"/>
  <c r="K46" i="14"/>
  <c r="N46" i="14"/>
  <c r="O46" i="14"/>
  <c r="C47" i="14"/>
  <c r="K47" i="14"/>
  <c r="N47" i="14"/>
  <c r="O47" i="14"/>
  <c r="C48" i="14"/>
  <c r="K48" i="14"/>
  <c r="N48" i="14"/>
  <c r="O48" i="14"/>
  <c r="C49" i="14"/>
  <c r="K49" i="14"/>
  <c r="N49" i="14"/>
  <c r="O49" i="14"/>
  <c r="C50" i="14"/>
  <c r="K50" i="14"/>
  <c r="N50" i="14"/>
  <c r="O50" i="14"/>
  <c r="C51" i="14"/>
  <c r="K51" i="14"/>
  <c r="N51" i="14"/>
  <c r="O51" i="14"/>
  <c r="C52" i="14"/>
  <c r="K52" i="14"/>
  <c r="N52" i="14"/>
  <c r="O52" i="14"/>
  <c r="C53" i="14"/>
  <c r="K53" i="14"/>
  <c r="N53" i="14"/>
  <c r="O53" i="14"/>
  <c r="C54" i="14"/>
  <c r="K54" i="14"/>
  <c r="N54" i="14"/>
  <c r="O54" i="14"/>
  <c r="C55" i="14"/>
  <c r="K55" i="14"/>
  <c r="N55" i="14"/>
  <c r="O55" i="14"/>
  <c r="C56" i="14"/>
  <c r="K56" i="14"/>
  <c r="N56" i="14"/>
  <c r="O56" i="14"/>
  <c r="C57" i="14"/>
  <c r="K57" i="14"/>
  <c r="N57" i="14"/>
  <c r="O57" i="14"/>
  <c r="C58" i="14"/>
  <c r="K58" i="14"/>
  <c r="N58" i="14"/>
  <c r="O58" i="14"/>
  <c r="C59" i="14"/>
  <c r="K59" i="14"/>
  <c r="N59" i="14"/>
  <c r="O59" i="14"/>
  <c r="C60" i="14"/>
  <c r="K60" i="14"/>
  <c r="N60" i="14"/>
  <c r="O60" i="14"/>
  <c r="C61" i="14"/>
  <c r="K61" i="14"/>
  <c r="N61" i="14"/>
  <c r="O61" i="14"/>
  <c r="C62" i="14"/>
  <c r="K62" i="14"/>
  <c r="N62" i="14"/>
  <c r="O62" i="14"/>
  <c r="C63" i="14"/>
  <c r="K63" i="14"/>
  <c r="N63" i="14"/>
  <c r="O63" i="14"/>
  <c r="C64" i="14"/>
  <c r="K64" i="14"/>
  <c r="N64" i="14"/>
  <c r="O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K75" i="14"/>
  <c r="N75" i="14"/>
  <c r="O75" i="14"/>
  <c r="C76" i="14"/>
  <c r="K76" i="14"/>
  <c r="N76" i="14"/>
  <c r="O76" i="14"/>
  <c r="C77" i="14"/>
  <c r="K77" i="14"/>
  <c r="N77" i="14"/>
  <c r="O77" i="14"/>
  <c r="C78" i="14"/>
  <c r="K78" i="14"/>
  <c r="N78" i="14"/>
  <c r="O78" i="14"/>
  <c r="C79" i="14"/>
  <c r="K79" i="14"/>
  <c r="N79" i="14"/>
  <c r="O79" i="14"/>
  <c r="C80" i="14"/>
  <c r="K80" i="14"/>
  <c r="N80" i="14"/>
  <c r="O80" i="14"/>
  <c r="C81" i="14"/>
  <c r="K81" i="14"/>
  <c r="N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C108" i="14"/>
  <c r="K108" i="14"/>
  <c r="N108" i="14"/>
  <c r="O108" i="14"/>
  <c r="C109" i="14"/>
  <c r="K109" i="14"/>
  <c r="N109" i="14"/>
  <c r="O109" i="14"/>
  <c r="C110" i="14"/>
  <c r="K110" i="14"/>
  <c r="N110" i="14"/>
  <c r="O110" i="14"/>
  <c r="O11" i="14"/>
  <c r="N11" i="14"/>
  <c r="C11" i="14"/>
  <c r="K11" i="14"/>
  <c r="E7" i="19" l="1"/>
  <c r="E6" i="19"/>
  <c r="E7" i="14"/>
  <c r="E6" i="14"/>
</calcChain>
</file>

<file path=xl/sharedStrings.xml><?xml version="1.0" encoding="utf-8"?>
<sst xmlns="http://schemas.openxmlformats.org/spreadsheetml/2006/main" count="616" uniqueCount="170">
  <si>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</si>
  <si>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</si>
  <si>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</si>
  <si>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</si>
  <si>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</si>
  <si>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</si>
  <si>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</si>
  <si>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</si>
  <si>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</si>
  <si>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</si>
  <si>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</si>
  <si>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</si>
  <si>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</si>
  <si>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</si>
  <si>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</si>
  <si>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</si>
  <si>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</si>
  <si>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</si>
  <si>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</si>
  <si>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</si>
  <si>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</si>
  <si>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</si>
  <si>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</si>
  <si>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</si>
  <si>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</si>
  <si>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</si>
  <si>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</si>
  <si>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</si>
  <si>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</si>
  <si>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</si>
  <si>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</si>
  <si>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Student 4</t>
  </si>
  <si>
    <t>Manager</t>
  </si>
  <si>
    <t>Other (Describe)</t>
  </si>
  <si>
    <t>Assigned a Student number to each member of the group</t>
  </si>
  <si>
    <t>Development</t>
  </si>
  <si>
    <t>Initialise repository</t>
  </si>
  <si>
    <t xml:space="preserve"> </t>
  </si>
  <si>
    <t>Developer</t>
  </si>
  <si>
    <t>Customise the starter</t>
  </si>
  <si>
    <t>Write report</t>
  </si>
  <si>
    <t>Make plans</t>
  </si>
  <si>
    <t>Plan all Level Zero activities and Level C Information requirement activities</t>
  </si>
  <si>
    <t>Student 2</t>
  </si>
  <si>
    <t>Create dev. config.</t>
  </si>
  <si>
    <t>Create admin accounts with credentials administrator1/administrator1 and administrator2/administrator2</t>
  </si>
  <si>
    <t>Student 1</t>
  </si>
  <si>
    <t>Implement feature</t>
  </si>
  <si>
    <t>Implement constraints ValidHeader, ValidText and ValidTicker (Model-CG.ufx)</t>
  </si>
  <si>
    <t>QA</t>
  </si>
  <si>
    <t>Student 5</t>
  </si>
  <si>
    <t>Tester</t>
  </si>
  <si>
    <t>Check deliverable</t>
  </si>
  <si>
    <t>Double check that the deliverable achieves all Zero Level requirements</t>
  </si>
  <si>
    <t>Other</t>
  </si>
  <si>
    <t>ALL</t>
  </si>
  <si>
    <t>Student</t>
  </si>
  <si>
    <t>Attend lecture</t>
  </si>
  <si>
    <t>Plan and manage planning sheet for C Level requirements</t>
  </si>
  <si>
    <t>Implement the data model sketched in file "Model-C01.uxf" (S1/1)</t>
  </si>
  <si>
    <t>Implement the data model sketched in file "Model-C02.uxf" (S2/1)</t>
  </si>
  <si>
    <t>Student 3</t>
  </si>
  <si>
    <t>Implement the data model sketched in file "Model-C03.uxf" (S3/1)</t>
  </si>
  <si>
    <t>Implement the data model sketched in file "Model-C04.uxf" (S4/1)</t>
  </si>
  <si>
    <t>Implement the data model sketched in file "Model-C05.uxf" (S5/1)</t>
  </si>
  <si>
    <t>T0012/D</t>
  </si>
  <si>
    <t>Populate the "sample" csv files referring "Model-C01.uxf" and create the corresponding user accounts</t>
  </si>
  <si>
    <t>T0013/D</t>
  </si>
  <si>
    <t>Populate the "sample" csv files referring "Model-C02.uxf" and create the corresponding user accounts</t>
  </si>
  <si>
    <t>T0014/D</t>
  </si>
  <si>
    <t>Populate the "sample" csv files referring "Model-C03.uxf" and create the corresponding user accounts</t>
  </si>
  <si>
    <t>T0015/D</t>
  </si>
  <si>
    <t>Populate the "sample" csv files referring "Model-C04.uxf" and create the corresponding user accounts</t>
  </si>
  <si>
    <t>T0016/D</t>
  </si>
  <si>
    <t>Populate the "sample" csv files referring "Model-C05.uxf" and create the corresponding user accounts</t>
  </si>
  <si>
    <t>T0021/QA/T0012/D</t>
  </si>
  <si>
    <t>Populate the "errata" csv files referring "Model-C01.uxf" (S1/6)</t>
  </si>
  <si>
    <t>T0022/QA/T0013/D</t>
  </si>
  <si>
    <t>Populate the "errata" csv files referring "Model-C02.uxf" (S2/6)</t>
  </si>
  <si>
    <t>T0023/QA/T0014/D</t>
  </si>
  <si>
    <t>Populate the "errata" csv files referring "Model-C03.uxf" (S3/6)</t>
  </si>
  <si>
    <t>T0024/QA/T0015/D</t>
  </si>
  <si>
    <t>Populate the "errata" csv files referring "Model-C04.uxf" (S4/6)</t>
  </si>
  <si>
    <t>T0025/QA/T0016/D</t>
  </si>
  <si>
    <t>Populate the "errata" csv files referring "Model-C05.uxf" (S5/6)</t>
  </si>
  <si>
    <t>Implement the entity restrictions referring "Model-C01.uxf"</t>
  </si>
  <si>
    <t>Implement the entity restrictions referring "Model-C02.uxf"</t>
  </si>
  <si>
    <t>Implement the entity restrictions referring "Model-C03.uxf"</t>
  </si>
  <si>
    <t>Implement the entity restrictions referring "Model-C04.uxf"</t>
  </si>
  <si>
    <t>Implement the entity restrictions referring "Model-C05.uxf"</t>
  </si>
  <si>
    <t>Implement the listing of entities referring "Model-C01.uxf" (S1/2) for any users</t>
  </si>
  <si>
    <t>Implement the listing of entities referring "Model-C02.uxf" (S2/2) for any users</t>
  </si>
  <si>
    <t>Implement the listing of entities referring "Model-C03.uxf" (S3/2) for any users</t>
  </si>
  <si>
    <t>Implement the listing of entities referring "Model-C04.uxf" (S4/2) for any users</t>
  </si>
  <si>
    <t>Implement the listing of entities referring "Model-C05.uxf" (S5/2) for any users</t>
  </si>
  <si>
    <t>Implement the management of entities referring "Model-C01.uxf" (S1/4) for users with the corresponding role</t>
  </si>
  <si>
    <t>Implement the management of entities referring "Model-C02.uxf" (S2/4) for users with the corresponding role</t>
  </si>
  <si>
    <t>Implement the management of entities referring "Model-C03.uxf" (S3/4) for users with the corresponding role</t>
  </si>
  <si>
    <t>Implement the management of entities referring "Model-C04.uxf" (S4/4) for users with the corresponding role</t>
  </si>
  <si>
    <t>Implement the management of entities referring "Model-C05.uxf" (S5/4) for users with the corresponding role</t>
  </si>
  <si>
    <t>Implement role acquisition referring "Model-C01.uxf" (S1/3)</t>
  </si>
  <si>
    <t>Implement role acquisition referring "Model-C02.uxf" (S2/3)</t>
  </si>
  <si>
    <t>Implement role acquisition referring "Model-C03.uxf" (S3/3)</t>
  </si>
  <si>
    <t>Implement role acquisition referring "Model-C04.uxf" (S4/3)</t>
  </si>
  <si>
    <t>Implement role acquisition referring "Model-C05.uxf" (S5/3)</t>
  </si>
  <si>
    <t>Operator</t>
  </si>
  <si>
    <t>Package deliverable</t>
  </si>
  <si>
    <t>Upload deliverable</t>
  </si>
  <si>
    <t>Deliverable D02</t>
  </si>
  <si>
    <t>Deliverable D03</t>
  </si>
  <si>
    <t>Internal data</t>
  </si>
  <si>
    <t>This sheet contains internal data that are used elsewhere to perform some checks and computations.  Please, do not modify it al all.</t>
  </si>
  <si>
    <t>Prospective assignees</t>
  </si>
  <si>
    <t>Statuses</t>
  </si>
  <si>
    <t>Planned</t>
  </si>
  <si>
    <t>Ongoing</t>
  </si>
  <si>
    <t>Finished</t>
  </si>
  <si>
    <t>Moments</t>
  </si>
  <si>
    <t>2100/31/12  23:59:59</t>
  </si>
  <si>
    <t>Roles</t>
  </si>
  <si>
    <t>Cost</t>
  </si>
  <si>
    <t>Tasks…</t>
  </si>
  <si>
    <t>Study and train</t>
  </si>
  <si>
    <t>Attend work meeting</t>
  </si>
  <si>
    <t>Make re-plannings</t>
  </si>
  <si>
    <t>Supervise task</t>
  </si>
  <si>
    <t>Analyst</t>
  </si>
  <si>
    <t>Elicit requirements</t>
  </si>
  <si>
    <t>Define features</t>
  </si>
  <si>
    <t>Create domain model</t>
  </si>
  <si>
    <t>Test feature informally</t>
  </si>
  <si>
    <t>Check task</t>
  </si>
  <si>
    <t>Test feature formally</t>
  </si>
  <si>
    <t>Test performance formally</t>
  </si>
  <si>
    <t>Prepare dep. platf.</t>
  </si>
  <si>
    <t>Deploy application</t>
  </si>
  <si>
    <t>Keep application running</t>
  </si>
  <si>
    <t>Task types</t>
  </si>
  <si>
    <t>Key</t>
  </si>
  <si>
    <t>M</t>
  </si>
  <si>
    <t>D</t>
  </si>
  <si>
    <t>Revision</t>
  </si>
  <si>
    <t>R</t>
  </si>
  <si>
    <t>O</t>
  </si>
  <si>
    <t>Create the github fork</t>
  </si>
  <si>
    <t>T0001/M</t>
  </si>
  <si>
    <t>Upload the necesary project changes for the new framework</t>
  </si>
  <si>
    <t>T0003/M</t>
  </si>
  <si>
    <t>Create project class requirements B2</t>
  </si>
  <si>
    <t>Create AdBanners requirements B5</t>
  </si>
  <si>
    <t>Display ad banners B12</t>
  </si>
  <si>
    <t>Review B5 y B12</t>
  </si>
  <si>
    <t>T0008/D</t>
  </si>
  <si>
    <t/>
  </si>
  <si>
    <t>Create member squad and Multiplicities &amp; Constraints B3 y B4</t>
  </si>
  <si>
    <t>T0009/D</t>
  </si>
  <si>
    <t>Populate sample data of Project, Member and WorksIn</t>
  </si>
  <si>
    <t>Feature list project and their components of member's projects B6</t>
  </si>
  <si>
    <t>Feature Dashoard B11</t>
  </si>
  <si>
    <t>T0018/D</t>
  </si>
  <si>
    <t>Fix views and repository dashboard</t>
  </si>
  <si>
    <t>Feature list project and their components of managers's projects B10</t>
  </si>
  <si>
    <t>Feature of views Any, Authenticated and CRUD manager B8, B9 y B10</t>
  </si>
  <si>
    <t>T0022/D</t>
  </si>
  <si>
    <t>Review B10</t>
  </si>
  <si>
    <t>Review B8 y B9</t>
  </si>
  <si>
    <t>And view members in Member and Manager</t>
  </si>
  <si>
    <t>Fix dashboard</t>
  </si>
  <si>
    <t>Add and delete memebers of a project</t>
  </si>
  <si>
    <t>Views members in Any-Authenticated and fix in this views but in Member and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</si>
</sst>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59">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0" fillId="0" borderId="0" xfId="0" applyAlignment="1">
      <alignment horizontal="left" vertical="center"/>
    </xf>
    <xf numFmtId="0" fontId="3" fillId="5" borderId="0" xfId="0" applyFont="1" applyFill="1" applyAlignment="1">
      <alignment horizontal="center" vertical="center" wrapText="1"/>
    </xf>
    <xf numFmtId="0" fontId="3" fillId="5" borderId="0" xfId="0" applyFont="1" applyFill="1" applyAlignment="1">
      <alignment horizontal="center"/>
    </xf>
    <xf numFmtId="0" fontId="1" fillId="2" borderId="0" xfId="0" applyFont="1" applyFill="1" applyAlignment="1">
      <alignment horizontal="center" vertical="center"/>
    </xf>
    <xf numFmtId="0" fontId="0" fillId="7" borderId="0" xfId="0" applyFill="1" applyAlignment="1">
      <alignment horizontal="left" vertical="center" wrapText="1"/>
    </xf>
    <xf numFmtId="0" fontId="0" fillId="7" borderId="0" xfId="0" applyFill="1" applyAlignment="1">
      <alignment horizontal="left" vertical="center"/>
    </xf>
    <xf numFmtId="0" fontId="0" fillId="0" borderId="0" xfId="0" applyAlignment="1">
      <alignment horizontal="left" vertical="center"/>
    </xf>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topLeftCell="A8" zoomScaleNormal="100" workbookViewId="0"/>
  </sheetViews>
  <sheetFormatPr defaultColWidth="9.109375" defaultRowHeight="14.4" x14ac:dyDescent="0.3"/>
  <cols>
    <col min="1" max="16384" width="9.109375" style="1"/>
  </cols>
  <sheetData>
    <row r="2" spans="2:10" x14ac:dyDescent="0.3">
      <c r="B2" s="55" t="s">
        <v>0</v>
      </c>
      <c r="C2" s="55"/>
      <c r="D2" s="55"/>
      <c r="E2" s="55"/>
      <c r="F2" s="55"/>
      <c r="G2" s="55"/>
      <c r="H2" s="55"/>
      <c r="I2" s="55"/>
      <c r="J2" s="55"/>
    </row>
    <row r="4" spans="2:10" x14ac:dyDescent="0.3">
      <c r="B4" s="56" t="s">
        <v>1</v>
      </c>
      <c r="C4" s="57"/>
      <c r="D4" s="57"/>
      <c r="E4" s="57"/>
      <c r="F4" s="57"/>
      <c r="G4" s="57"/>
      <c r="H4" s="57"/>
      <c r="I4" s="57"/>
      <c r="J4" s="57"/>
    </row>
    <row r="5" spans="2:10" x14ac:dyDescent="0.3">
      <c r="B5" s="57"/>
      <c r="C5" s="57"/>
      <c r="D5" s="57"/>
      <c r="E5" s="57"/>
      <c r="F5" s="57"/>
      <c r="G5" s="57"/>
      <c r="H5" s="57"/>
      <c r="I5" s="57"/>
      <c r="J5" s="57"/>
    </row>
    <row r="6" spans="2:10" x14ac:dyDescent="0.3">
      <c r="B6" s="57"/>
      <c r="C6" s="57"/>
      <c r="D6" s="57"/>
      <c r="E6" s="57"/>
      <c r="F6" s="57"/>
      <c r="G6" s="57"/>
      <c r="H6" s="57"/>
      <c r="I6" s="57"/>
      <c r="J6" s="57"/>
    </row>
    <row r="7" spans="2:10" x14ac:dyDescent="0.3">
      <c r="B7" s="57"/>
      <c r="C7" s="57"/>
      <c r="D7" s="57"/>
      <c r="E7" s="57"/>
      <c r="F7" s="57"/>
      <c r="G7" s="57"/>
      <c r="H7" s="57"/>
      <c r="I7" s="57"/>
      <c r="J7" s="57"/>
    </row>
    <row r="8" spans="2:10" x14ac:dyDescent="0.3">
      <c r="B8" s="57"/>
      <c r="C8" s="57"/>
      <c r="D8" s="57"/>
      <c r="E8" s="57"/>
      <c r="F8" s="57"/>
      <c r="G8" s="57"/>
      <c r="H8" s="57"/>
      <c r="I8" s="57"/>
      <c r="J8" s="57"/>
    </row>
    <row r="9" spans="2:10" x14ac:dyDescent="0.3">
      <c r="B9" s="57"/>
      <c r="C9" s="57"/>
      <c r="D9" s="57"/>
      <c r="E9" s="57"/>
      <c r="F9" s="57"/>
      <c r="G9" s="57"/>
      <c r="H9" s="57"/>
      <c r="I9" s="57"/>
      <c r="J9" s="57"/>
    </row>
    <row r="10" spans="2:10" x14ac:dyDescent="0.3">
      <c r="B10" s="57"/>
      <c r="C10" s="57"/>
      <c r="D10" s="57"/>
      <c r="E10" s="57"/>
      <c r="F10" s="57"/>
      <c r="G10" s="57"/>
      <c r="H10" s="57"/>
      <c r="I10" s="57"/>
      <c r="J10" s="57"/>
    </row>
    <row r="11" spans="2:10" x14ac:dyDescent="0.3">
      <c r="B11" s="57"/>
      <c r="C11" s="57"/>
      <c r="D11" s="57"/>
      <c r="E11" s="57"/>
      <c r="F11" s="57"/>
      <c r="G11" s="57"/>
      <c r="H11" s="57"/>
      <c r="I11" s="57"/>
      <c r="J11" s="57"/>
    </row>
    <row r="12" spans="2:10" x14ac:dyDescent="0.3">
      <c r="B12" s="57"/>
      <c r="C12" s="57"/>
      <c r="D12" s="57"/>
      <c r="E12" s="57"/>
      <c r="F12" s="57"/>
      <c r="G12" s="57"/>
      <c r="H12" s="57"/>
      <c r="I12" s="57"/>
      <c r="J12" s="57"/>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defaultColWidth="8.6640625" defaultRowHeight="14.4" x14ac:dyDescent="0.3"/>
  <sheetData>
    <row r="2" spans="2:10" x14ac:dyDescent="0.3">
      <c r="B2" s="55" t="s">
        <v>2</v>
      </c>
      <c r="C2" s="55"/>
      <c r="D2" s="55"/>
      <c r="E2" s="55"/>
      <c r="F2" s="55"/>
      <c r="G2" s="55"/>
      <c r="H2" s="55"/>
      <c r="I2" s="55"/>
      <c r="J2" s="55"/>
    </row>
    <row r="3" spans="2:10" x14ac:dyDescent="0.3">
      <c r="B3" s="2"/>
      <c r="C3" s="1"/>
      <c r="D3" s="1"/>
      <c r="E3" s="1"/>
      <c r="F3" s="1"/>
      <c r="G3" s="1"/>
      <c r="H3" s="1"/>
      <c r="I3" s="1"/>
      <c r="J3" s="1"/>
    </row>
    <row r="4" spans="2:10" ht="15" customHeight="1" x14ac:dyDescent="0.3">
      <c r="B4" s="56" t="s">
        <v>3</v>
      </c>
      <c r="C4" s="56"/>
      <c r="D4" s="56"/>
      <c r="E4" s="56"/>
      <c r="F4" s="56"/>
      <c r="G4" s="56"/>
      <c r="H4" s="56"/>
      <c r="I4" s="56"/>
      <c r="J4" s="56"/>
    </row>
    <row r="5" spans="2:10" x14ac:dyDescent="0.3">
      <c r="B5" s="56"/>
      <c r="C5" s="56"/>
      <c r="D5" s="56"/>
      <c r="E5" s="56"/>
      <c r="F5" s="56"/>
      <c r="G5" s="56"/>
      <c r="H5" s="56"/>
      <c r="I5" s="56"/>
      <c r="J5" s="56"/>
    </row>
    <row r="6" spans="2:10" x14ac:dyDescent="0.3">
      <c r="B6" s="56"/>
      <c r="C6" s="56"/>
      <c r="D6" s="56"/>
      <c r="E6" s="56"/>
      <c r="F6" s="56"/>
      <c r="G6" s="56"/>
      <c r="H6" s="56"/>
      <c r="I6" s="56"/>
      <c r="J6" s="56"/>
    </row>
    <row r="7" spans="2:10" x14ac:dyDescent="0.3">
      <c r="B7" s="1"/>
      <c r="C7" s="1"/>
      <c r="D7" s="1"/>
      <c r="E7" s="1"/>
      <c r="F7" s="1"/>
      <c r="G7" s="1"/>
      <c r="H7" s="1"/>
      <c r="I7" s="1"/>
      <c r="J7" s="1"/>
    </row>
    <row r="8" spans="2:10" x14ac:dyDescent="0.3">
      <c r="B8" s="39"/>
      <c r="C8" s="40" t="s">
        <v>4</v>
      </c>
      <c r="D8" s="1"/>
      <c r="E8" s="1"/>
      <c r="F8" s="1"/>
      <c r="G8" s="1"/>
      <c r="H8" s="1"/>
      <c r="I8" s="1"/>
      <c r="J8" s="1"/>
    </row>
    <row r="9" spans="2:10" x14ac:dyDescent="0.3">
      <c r="B9" s="4"/>
      <c r="C9" s="58" t="s">
        <v>5</v>
      </c>
      <c r="D9" s="58"/>
      <c r="E9" s="58"/>
      <c r="F9" s="58"/>
      <c r="G9" s="58"/>
      <c r="H9" s="58"/>
      <c r="I9" s="58"/>
      <c r="J9" s="58"/>
    </row>
    <row r="10" spans="2:10" x14ac:dyDescent="0.3">
      <c r="B10" s="48"/>
      <c r="C10" s="58" t="s">
        <v>6</v>
      </c>
      <c r="D10" s="58"/>
      <c r="E10" s="58"/>
      <c r="F10" s="58"/>
      <c r="G10" s="58"/>
      <c r="H10" s="58"/>
      <c r="I10" s="58"/>
      <c r="J10" s="58"/>
    </row>
    <row r="11" spans="2:10" x14ac:dyDescent="0.3">
      <c r="B11" s="49"/>
      <c r="C11" s="52" t="s">
        <v>7</v>
      </c>
      <c r="D11" s="52"/>
      <c r="E11" s="52"/>
      <c r="F11" s="52"/>
      <c r="G11" s="52"/>
      <c r="H11" s="52"/>
      <c r="I11" s="52"/>
      <c r="J11" s="52"/>
    </row>
    <row r="12" spans="2:10" x14ac:dyDescent="0.3">
      <c r="B12" s="3"/>
      <c r="C12" s="58" t="s">
        <v>8</v>
      </c>
      <c r="D12" s="58"/>
      <c r="E12" s="58"/>
      <c r="F12" s="58"/>
      <c r="G12" s="58"/>
      <c r="H12" s="58"/>
      <c r="I12" s="58"/>
      <c r="J12" s="58"/>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0"/>
  <sheetViews>
    <sheetView topLeftCell="C1" zoomScaleNormal="100" workbookViewId="0">
      <pane ySplit="10" topLeftCell="A65" activePane="bottomLeft" state="frozen"/>
      <selection pane="bottomLeft" activeCell="M42" sqref="M42"/>
    </sheetView>
  </sheetViews>
  <sheetFormatPr defaultColWidth="8.6640625" defaultRowHeight="14.4" x14ac:dyDescent="0.3"/>
  <cols>
    <col min="3" max="15" width="18.88671875" customWidth="1"/>
    <col min="16" max="16" width="64.5546875" customWidth="1"/>
  </cols>
  <sheetData>
    <row r="2" spans="2:16" x14ac:dyDescent="0.3">
      <c r="C2" s="55" t="s">
        <v>9</v>
      </c>
      <c r="D2" s="55"/>
      <c r="E2" s="55"/>
      <c r="F2" s="55"/>
      <c r="G2" s="55"/>
      <c r="H2" s="55"/>
      <c r="I2" s="55"/>
      <c r="J2" s="55"/>
      <c r="K2" s="55"/>
      <c r="L2" s="55"/>
      <c r="M2" s="55"/>
      <c r="N2" s="55"/>
      <c r="O2" s="55"/>
      <c r="P2" s="55"/>
    </row>
    <row r="4" spans="2:16" ht="15" customHeight="1" x14ac:dyDescent="0.3">
      <c r="C4" s="56" t="s">
        <v>10</v>
      </c>
      <c r="D4" s="56"/>
      <c r="E4" s="56"/>
      <c r="F4" s="56"/>
      <c r="G4" s="56"/>
      <c r="H4" s="56"/>
      <c r="I4" s="56"/>
      <c r="J4" s="56"/>
      <c r="K4" s="56"/>
      <c r="L4" s="56"/>
      <c r="M4" s="56"/>
      <c r="N4" s="56"/>
      <c r="O4" s="56"/>
      <c r="P4" s="56"/>
    </row>
    <row r="5" spans="2:16" x14ac:dyDescent="0.3">
      <c r="C5" s="5"/>
      <c r="D5" s="5"/>
      <c r="E5" s="5"/>
      <c r="F5" s="5"/>
      <c r="G5" s="5"/>
      <c r="H5" s="5"/>
      <c r="I5" s="5"/>
      <c r="J5" s="5"/>
      <c r="K5" s="5"/>
      <c r="L5" s="5"/>
      <c r="M5" s="5"/>
      <c r="N5" s="5"/>
      <c r="O5" s="5"/>
      <c r="P5" s="5"/>
    </row>
    <row r="6" spans="2:16" x14ac:dyDescent="0.3">
      <c r="C6" s="53" t="s">
        <v>11</v>
      </c>
      <c r="D6" s="10" t="s">
        <v>12</v>
      </c>
      <c r="E6" s="35">
        <f>SUM(N11:N110)</f>
        <v>2785</v>
      </c>
      <c r="F6" s="5"/>
      <c r="G6" s="5"/>
      <c r="H6" s="5"/>
      <c r="I6" s="5"/>
      <c r="J6" s="5"/>
      <c r="K6" s="5"/>
      <c r="L6" s="5"/>
      <c r="M6" s="5"/>
      <c r="N6" s="5"/>
      <c r="O6" s="5"/>
      <c r="P6" s="5"/>
    </row>
    <row r="7" spans="2:16" x14ac:dyDescent="0.3">
      <c r="C7" s="53"/>
      <c r="D7" s="11" t="s">
        <v>13</v>
      </c>
      <c r="E7" s="36">
        <f>SUM(O11:O110)</f>
        <v>2610</v>
      </c>
      <c r="J7" s="37"/>
    </row>
    <row r="9" spans="2:16" x14ac:dyDescent="0.3">
      <c r="B9" s="6"/>
      <c r="C9" s="7"/>
      <c r="D9" s="7"/>
      <c r="E9" s="7"/>
      <c r="F9" s="7"/>
      <c r="G9" s="7"/>
      <c r="H9" s="7"/>
      <c r="I9" s="54" t="s">
        <v>14</v>
      </c>
      <c r="J9" s="54"/>
      <c r="K9" s="7"/>
      <c r="L9" s="54" t="s">
        <v>15</v>
      </c>
      <c r="M9" s="54"/>
      <c r="N9" s="54" t="s">
        <v>16</v>
      </c>
      <c r="O9" s="54"/>
      <c r="P9" s="7"/>
    </row>
    <row r="10" spans="2:16" ht="15" thickBot="1" x14ac:dyDescent="0.3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x14ac:dyDescent="0.35">
      <c r="B11" s="41">
        <v>1</v>
      </c>
      <c r="C11" s="42" t="str">
        <f>IF(ISBLANK(D11), "", _xlfn.CONCAT("T", TEXT(B11, "0000"), "/", VLOOKUP(D11, Internal!$B$35:C$39, 2, FALSE), IF(OR(D11="QA", D11="Revision"), _xlfn.CONCAT("/", H11), "")))</f>
        <v>T0001/M</v>
      </c>
      <c r="D11" s="44" t="s">
        <v>30</v>
      </c>
      <c r="E11" s="43" t="s">
        <v>31</v>
      </c>
      <c r="F11" s="43" t="s">
        <v>32</v>
      </c>
      <c r="G11" s="44" t="s">
        <v>33</v>
      </c>
      <c r="H11" s="43"/>
      <c r="I11" s="46">
        <v>46054.958333333336</v>
      </c>
      <c r="J11" s="46">
        <v>46055.010416666664</v>
      </c>
      <c r="K11" s="45" t="str">
        <f ca="1">IF(OR(I11="",J11=""),"",IF(AND(J11&lt;&gt;"",I11&gt;=NOW()),"Planned",IF(AND(J11&lt;&gt;"",J11&lt;NOW()),"Completed","Ongoing")))</f>
        <v>Completed</v>
      </c>
      <c r="L11" s="47">
        <v>1</v>
      </c>
      <c r="M11" s="47">
        <v>1.25</v>
      </c>
      <c r="N11" s="45">
        <f>IF(ISBLANK(L11), "", L11*VLOOKUP($F11,Internal!$B$26:$C$32,2,FALSE))</f>
        <v>50</v>
      </c>
      <c r="O11" s="45">
        <f>IF(ISBLANK(M11), "", M11*VLOOKUP($F11,Internal!$B$26:$C$32,2,FALSE))</f>
        <v>62.5</v>
      </c>
      <c r="P11" s="44" t="s">
        <v>34</v>
      </c>
    </row>
    <row r="12" spans="2:16" ht="15" thickBot="1" x14ac:dyDescent="0.35">
      <c r="B12" s="41">
        <v>2</v>
      </c>
      <c r="C12" s="42" t="str">
        <f>IF(ISBLANK(D12), "", _xlfn.CONCAT("T", TEXT(B12, "0000"), "/", VLOOKUP(D12, Internal!$B$35:C$39, 2, FALSE), IF(OR(D12="QA", D12="Revision"), _xlfn.CONCAT("/", H12), "")))</f>
        <v>T0002/D</v>
      </c>
      <c r="D12" s="44" t="s">
        <v>35</v>
      </c>
      <c r="E12" s="43" t="s">
        <v>31</v>
      </c>
      <c r="F12" s="43" t="s">
        <v>32</v>
      </c>
      <c r="G12" s="44" t="s">
        <v>36</v>
      </c>
      <c r="H12" s="43"/>
      <c r="I12" s="46">
        <v>46059.895833333336</v>
      </c>
      <c r="J12" s="46">
        <v>46059.916666666664</v>
      </c>
      <c r="K12" s="45" t="str">
        <f t="shared" ref="K12:K75" ca="1" si="0">IF(OR(I12="",J12=""),"",IF(AND(J12&lt;&gt;"",I12&gt;=NOW()),"Planned",IF(AND(J12&lt;&gt;"",J12&lt;NOW()),"Completed","Ongoing")))</f>
        <v>Completed</v>
      </c>
      <c r="L12" s="47">
        <v>0.5</v>
      </c>
      <c r="M12" s="47">
        <v>0.5</v>
      </c>
      <c r="N12" s="45">
        <f>IF(ISBLANK(L12), "", L12*VLOOKUP($F12,Internal!$B$26:$C$32,2,FALSE))</f>
        <v>25</v>
      </c>
      <c r="O12" s="45">
        <f>IF(ISBLANK(M12), "", M12*VLOOKUP($F12,Internal!$B$26:$C$32,2,FALSE))</f>
        <v>25</v>
      </c>
      <c r="P12" s="44" t="s">
        <v>37</v>
      </c>
    </row>
    <row r="13" spans="2:16" ht="15" thickBot="1" x14ac:dyDescent="0.35">
      <c r="B13" s="41">
        <v>3</v>
      </c>
      <c r="C13" s="42" t="str">
        <f>IF(ISBLANK(D13), "", _xlfn.CONCAT("T", TEXT(B13, "0000"), "/", VLOOKUP(D13, Internal!$B$35:C$39, 2, FALSE), IF(OR(D13="QA", D13="Revision"), _xlfn.CONCAT("/", H13), "")))</f>
        <v>T0003/D</v>
      </c>
      <c r="D13" s="44" t="s">
        <v>35</v>
      </c>
      <c r="E13" s="43" t="s">
        <v>31</v>
      </c>
      <c r="F13" s="43" t="s">
        <v>38</v>
      </c>
      <c r="G13" s="44" t="s">
        <v>39</v>
      </c>
      <c r="H13" s="43"/>
      <c r="I13" s="46">
        <v>46060.375</v>
      </c>
      <c r="J13" s="46">
        <v>46061.5</v>
      </c>
      <c r="K13" s="45" t="str">
        <f t="shared" ca="1" si="0"/>
        <v>Completed</v>
      </c>
      <c r="L13" s="47">
        <v>1.5</v>
      </c>
      <c r="M13" s="47">
        <v>2</v>
      </c>
      <c r="N13" s="45">
        <f>IF(ISBLANK(L13), "", L13*VLOOKUP($F13,Internal!$B$26:$C$32,2,FALSE))</f>
        <v>37.5</v>
      </c>
      <c r="O13" s="45">
        <f>IF(ISBLANK(M13), "", M13*VLOOKUP($F13,Internal!$B$26:$C$32,2,FALSE))</f>
        <v>50</v>
      </c>
      <c r="P13" s="44"/>
    </row>
    <row r="14" spans="2:16" ht="15" thickBot="1" x14ac:dyDescent="0.35">
      <c r="B14" s="41">
        <v>4</v>
      </c>
      <c r="C14" s="42" t="str">
        <f>IF(ISBLANK(D14), "", _xlfn.CONCAT("T", TEXT(B14, "0000"), "/", VLOOKUP(D14, Internal!$B$35:C$39, 2, FALSE), IF(OR(D14="QA", D14="Revision"), _xlfn.CONCAT("/", H14), "")))</f>
        <v>T0004/M</v>
      </c>
      <c r="D14" s="44" t="s">
        <v>30</v>
      </c>
      <c r="E14" s="43" t="s">
        <v>31</v>
      </c>
      <c r="F14" s="43" t="s">
        <v>32</v>
      </c>
      <c r="G14" s="44" t="s">
        <v>40</v>
      </c>
      <c r="H14" s="43"/>
      <c r="I14" s="46">
        <v>46062.6875</v>
      </c>
      <c r="J14" s="46">
        <v>46062.833333333336</v>
      </c>
      <c r="K14" s="45" t="str">
        <f t="shared" ca="1" si="0"/>
        <v>Completed</v>
      </c>
      <c r="L14" s="47">
        <v>1</v>
      </c>
      <c r="M14" s="47">
        <v>0.5</v>
      </c>
      <c r="N14" s="45">
        <f>IF(ISBLANK(L14), "", L14*VLOOKUP($F14,Internal!$B$26:$C$32,2,FALSE))</f>
        <v>50</v>
      </c>
      <c r="O14" s="45">
        <f>IF(ISBLANK(M14), "", M14*VLOOKUP($F14,Internal!$B$26:$C$32,2,FALSE))</f>
        <v>25</v>
      </c>
      <c r="P14" s="44"/>
    </row>
    <row r="15" spans="2:16" ht="15" thickBot="1" x14ac:dyDescent="0.35">
      <c r="B15" s="41">
        <v>5</v>
      </c>
      <c r="C15" s="42" t="str">
        <f>IF(ISBLANK(D15), "", _xlfn.CONCAT("T", TEXT(B15, "0000"), "/", VLOOKUP(D15, Internal!$B$35:C$39, 2, FALSE), IF(OR(D15="QA", D15="Revision"), _xlfn.CONCAT("/", H15), "")))</f>
        <v>T0005/M</v>
      </c>
      <c r="D15" s="44" t="s">
        <v>30</v>
      </c>
      <c r="E15" s="43" t="s">
        <v>31</v>
      </c>
      <c r="F15" s="43" t="s">
        <v>32</v>
      </c>
      <c r="G15" s="44" t="s">
        <v>41</v>
      </c>
      <c r="H15" s="43"/>
      <c r="I15" s="46">
        <v>46062.5</v>
      </c>
      <c r="J15" s="46">
        <v>46062.53125</v>
      </c>
      <c r="K15" s="45" t="str">
        <f t="shared" ca="1" si="0"/>
        <v>Completed</v>
      </c>
      <c r="L15" s="47">
        <v>1.5</v>
      </c>
      <c r="M15" s="47">
        <v>0.75</v>
      </c>
      <c r="N15" s="45">
        <f>IF(ISBLANK(L15), "", L15*VLOOKUP($F15,Internal!$B$26:$C$32,2,FALSE))</f>
        <v>75</v>
      </c>
      <c r="O15" s="45">
        <f>IF(ISBLANK(M15), "", M15*VLOOKUP($F15,Internal!$B$26:$C$32,2,FALSE))</f>
        <v>37.5</v>
      </c>
      <c r="P15" s="44" t="s">
        <v>42</v>
      </c>
    </row>
    <row r="16" spans="2:16" ht="15" thickBot="1" x14ac:dyDescent="0.35">
      <c r="B16" s="41">
        <v>6</v>
      </c>
      <c r="C16" s="42" t="str">
        <f>IF(ISBLANK(D16), "", _xlfn.CONCAT("T", TEXT(B16, "0000"), "/", VLOOKUP(D16, Internal!$B$35:C$39, 2, FALSE), IF(OR(D16="QA", D16="Revision"), _xlfn.CONCAT("/", H16), "")))</f>
        <v>T0006/D</v>
      </c>
      <c r="D16" s="44" t="s">
        <v>35</v>
      </c>
      <c r="E16" s="43" t="s">
        <v>43</v>
      </c>
      <c r="F16" s="43" t="s">
        <v>38</v>
      </c>
      <c r="G16" s="44" t="s">
        <v>44</v>
      </c>
      <c r="H16" s="43"/>
      <c r="I16" s="46">
        <v>46062.5</v>
      </c>
      <c r="J16" s="46">
        <v>46060.729166666664</v>
      </c>
      <c r="K16" s="45" t="str">
        <f t="shared" ca="1" si="0"/>
        <v>Completed</v>
      </c>
      <c r="L16" s="47">
        <v>2</v>
      </c>
      <c r="M16" s="47">
        <v>2.5</v>
      </c>
      <c r="N16" s="45">
        <f>IF(ISBLANK(L16), "", L16*VLOOKUP($F16,Internal!$B$26:$C$32,2,FALSE))</f>
        <v>50</v>
      </c>
      <c r="O16" s="45">
        <f>IF(ISBLANK(M16), "", M16*VLOOKUP($F16,Internal!$B$26:$C$32,2,FALSE))</f>
        <v>62.5</v>
      </c>
      <c r="P16" s="44" t="s">
        <v>45</v>
      </c>
    </row>
    <row r="17" spans="2:16" ht="15" thickBot="1" x14ac:dyDescent="0.35">
      <c r="B17" s="41">
        <v>7</v>
      </c>
      <c r="C17" s="42" t="str">
        <f>IF(ISBLANK(D17), "", _xlfn.CONCAT("T", TEXT(B17, "0000"), "/", VLOOKUP(D17, Internal!$B$35:C$39, 2, FALSE), IF(OR(D17="QA", D17="Revision"), _xlfn.CONCAT("/", H17), "")))</f>
        <v>T0007/D</v>
      </c>
      <c r="D17" s="44" t="s">
        <v>35</v>
      </c>
      <c r="E17" s="43" t="s">
        <v>46</v>
      </c>
      <c r="F17" s="43" t="s">
        <v>38</v>
      </c>
      <c r="G17" s="44" t="s">
        <v>47</v>
      </c>
      <c r="H17" s="43"/>
      <c r="I17" s="46">
        <v>46062.5</v>
      </c>
      <c r="J17" s="46">
        <v>46062.729166666664</v>
      </c>
      <c r="K17" s="45" t="str">
        <f t="shared" ca="1" si="0"/>
        <v>Completed</v>
      </c>
      <c r="L17" s="47">
        <v>2</v>
      </c>
      <c r="M17" s="47">
        <v>2</v>
      </c>
      <c r="N17" s="45">
        <f>IF(ISBLANK(L17), "", L17*VLOOKUP($F17,Internal!$B$26:$C$32,2,FALSE))</f>
        <v>50</v>
      </c>
      <c r="O17" s="45">
        <f>IF(ISBLANK(M17), "", M17*VLOOKUP($F17,Internal!$B$26:$C$32,2,FALSE))</f>
        <v>50</v>
      </c>
      <c r="P17" s="44" t="s">
        <v>48</v>
      </c>
    </row>
    <row r="18" spans="2:16" ht="15" thickBot="1" x14ac:dyDescent="0.35">
      <c r="B18" s="41">
        <v>8</v>
      </c>
      <c r="C18" s="42" t="str">
        <f>IF(ISBLANK(D18), "", _xlfn.CONCAT("T", TEXT(B18, "0000"), "/", VLOOKUP(D18, Internal!$B$35:C$39, 2, FALSE), IF(OR(D18="QA", D18="Revision"), _xlfn.CONCAT("/", H18), "")))</f>
        <v>T0008/QA/</v>
      </c>
      <c r="D18" s="44" t="s">
        <v>49</v>
      </c>
      <c r="E18" s="43" t="s">
        <v>50</v>
      </c>
      <c r="F18" s="43" t="s">
        <v>51</v>
      </c>
      <c r="G18" s="44" t="s">
        <v>52</v>
      </c>
      <c r="H18" s="43"/>
      <c r="I18" s="46">
        <v>46062.5</v>
      </c>
      <c r="J18" s="46">
        <v>46062.729166666664</v>
      </c>
      <c r="K18" s="45" t="str">
        <f t="shared" ca="1" si="0"/>
        <v>Completed</v>
      </c>
      <c r="L18" s="47">
        <v>1</v>
      </c>
      <c r="M18" s="47">
        <v>1</v>
      </c>
      <c r="N18" s="45">
        <f>IF(ISBLANK(L18), "", L18*VLOOKUP($F18,Internal!$B$26:$C$32,2,FALSE))</f>
        <v>30</v>
      </c>
      <c r="O18" s="45">
        <f>IF(ISBLANK(M18), "", M18*VLOOKUP($F18,Internal!$B$26:$C$32,2,FALSE))</f>
        <v>30</v>
      </c>
      <c r="P18" s="44" t="s">
        <v>53</v>
      </c>
    </row>
    <row r="19" spans="2:16" ht="15" thickBot="1" x14ac:dyDescent="0.35">
      <c r="B19" s="41">
        <v>9</v>
      </c>
      <c r="C19" s="42" t="str">
        <f>IF(ISBLANK(D19), "", _xlfn.CONCAT("T", TEXT(B19, "0000"), "/", VLOOKUP(D19, Internal!$B$35:C$39, 2, FALSE), IF(OR(D19="QA", D19="Revision"), _xlfn.CONCAT("/", H19), "")))</f>
        <v>T0009/O</v>
      </c>
      <c r="D19" s="44" t="s">
        <v>54</v>
      </c>
      <c r="E19" s="43" t="s">
        <v>55</v>
      </c>
      <c r="F19" s="43" t="s">
        <v>56</v>
      </c>
      <c r="G19" s="44" t="s">
        <v>57</v>
      </c>
      <c r="H19" s="43"/>
      <c r="I19" s="46">
        <v>46062.645833333336</v>
      </c>
      <c r="J19" s="46">
        <v>46062.729166666664</v>
      </c>
      <c r="K19" s="45" t="str">
        <f t="shared" ca="1" si="0"/>
        <v>Completed</v>
      </c>
      <c r="L19" s="47">
        <v>2</v>
      </c>
      <c r="M19" s="47">
        <v>2</v>
      </c>
      <c r="N19" s="45">
        <f>IF(ISBLANK(L19), "", L19*VLOOKUP($F19,Internal!$B$26:$C$32,2,FALSE))</f>
        <v>0</v>
      </c>
      <c r="O19" s="45">
        <f>IF(ISBLANK(M19), "", M19*VLOOKUP($F19,Internal!$B$26:$C$32,2,FALSE))</f>
        <v>0</v>
      </c>
      <c r="P19" s="44"/>
    </row>
    <row r="20" spans="2:16" ht="15" thickBot="1" x14ac:dyDescent="0.35">
      <c r="B20" s="41">
        <v>10</v>
      </c>
      <c r="C20" s="42" t="str">
        <f>IF(ISBLANK(D20), "", _xlfn.CONCAT("T", TEXT(B20, "0000"), "/", VLOOKUP(D20, Internal!$B$35:C$39, 2, FALSE), IF(OR(D20="QA", D20="Revision"), _xlfn.CONCAT("/", H20), "")))</f>
        <v>T0010/O</v>
      </c>
      <c r="D20" s="44" t="s">
        <v>54</v>
      </c>
      <c r="E20" s="43" t="s">
        <v>55</v>
      </c>
      <c r="F20" s="43" t="s">
        <v>56</v>
      </c>
      <c r="G20" s="44" t="s">
        <v>57</v>
      </c>
      <c r="H20" s="43"/>
      <c r="I20" s="46">
        <v>46065.736111111109</v>
      </c>
      <c r="J20" s="46">
        <v>46065.8125</v>
      </c>
      <c r="K20" s="45" t="str">
        <f t="shared" ca="1" si="0"/>
        <v>Completed</v>
      </c>
      <c r="L20" s="47">
        <v>2</v>
      </c>
      <c r="M20" s="47">
        <v>2</v>
      </c>
      <c r="N20" s="45">
        <f>IF(ISBLANK(L20), "", L20*VLOOKUP($F20,Internal!$B$26:$C$32,2,FALSE))</f>
        <v>0</v>
      </c>
      <c r="O20" s="45">
        <f>IF(ISBLANK(M20), "", M20*VLOOKUP($F20,Internal!$B$26:$C$32,2,FALSE))</f>
        <v>0</v>
      </c>
      <c r="P20" s="44"/>
    </row>
    <row r="21" spans="2:16" ht="15" thickBot="1" x14ac:dyDescent="0.35">
      <c r="B21" s="41">
        <v>11</v>
      </c>
      <c r="C21" s="42" t="str">
        <f>IF(ISBLANK(D21), "", _xlfn.CONCAT("T", TEXT(B21, "0000"), "/", VLOOKUP(D21, Internal!$B$35:C$39, 2, FALSE), IF(OR(D21="QA", D21="Revision"), _xlfn.CONCAT("/", H21), "")))</f>
        <v>T0011/M</v>
      </c>
      <c r="D21" s="44" t="s">
        <v>30</v>
      </c>
      <c r="E21" s="43" t="s">
        <v>31</v>
      </c>
      <c r="F21" s="43" t="s">
        <v>32</v>
      </c>
      <c r="G21" s="44" t="s">
        <v>41</v>
      </c>
      <c r="H21" s="43"/>
      <c r="I21" s="46">
        <v>46065.833333333336</v>
      </c>
      <c r="J21" s="46">
        <v>46067.645833333336</v>
      </c>
      <c r="K21" s="45" t="str">
        <f t="shared" ca="1" si="0"/>
        <v>Completed</v>
      </c>
      <c r="L21" s="47">
        <v>1.5</v>
      </c>
      <c r="M21" s="47">
        <v>1.25</v>
      </c>
      <c r="N21" s="45">
        <f>IF(ISBLANK(L21), "", L21*VLOOKUP($F21,Internal!$B$26:$C$32,2,FALSE))</f>
        <v>75</v>
      </c>
      <c r="O21" s="45">
        <f>IF(ISBLANK(M21), "", M21*VLOOKUP($F21,Internal!$B$26:$C$32,2,FALSE))</f>
        <v>62.5</v>
      </c>
      <c r="P21" s="44" t="s">
        <v>58</v>
      </c>
    </row>
    <row r="22" spans="2:16" ht="15" thickBot="1" x14ac:dyDescent="0.35">
      <c r="B22" s="41">
        <v>12</v>
      </c>
      <c r="C22" s="42" t="str">
        <f>IF(ISBLANK(D22), "", _xlfn.CONCAT("T", TEXT(B22, "0000"), "/", VLOOKUP(D22, Internal!$B$35:C$39, 2, FALSE), IF(OR(D22="QA", D22="Revision"), _xlfn.CONCAT("/", H22), "")))</f>
        <v>T0012/D</v>
      </c>
      <c r="D22" s="44" t="s">
        <v>35</v>
      </c>
      <c r="E22" s="43" t="s">
        <v>46</v>
      </c>
      <c r="F22" s="43" t="s">
        <v>38</v>
      </c>
      <c r="G22" s="44" t="s">
        <v>47</v>
      </c>
      <c r="H22" s="43"/>
      <c r="I22" s="46">
        <v>46065.833333333336</v>
      </c>
      <c r="J22" s="46">
        <v>46069.645833333336</v>
      </c>
      <c r="K22" s="45" t="str">
        <f t="shared" ca="1" si="0"/>
        <v>Completed</v>
      </c>
      <c r="L22" s="47">
        <v>1.5</v>
      </c>
      <c r="M22" s="47">
        <v>1.5</v>
      </c>
      <c r="N22" s="45">
        <f>IF(ISBLANK(L22), "", L22*VLOOKUP($F22,Internal!$B$26:$C$32,2,FALSE))</f>
        <v>37.5</v>
      </c>
      <c r="O22" s="45">
        <f>IF(ISBLANK(M22), "", M22*VLOOKUP($F22,Internal!$B$26:$C$32,2,FALSE))</f>
        <v>37.5</v>
      </c>
      <c r="P22" s="44" t="s">
        <v>59</v>
      </c>
    </row>
    <row r="23" spans="2:16" ht="15" thickBot="1" x14ac:dyDescent="0.35">
      <c r="B23" s="41">
        <v>13</v>
      </c>
      <c r="C23" s="42" t="str">
        <f>IF(ISBLANK(D23), "", _xlfn.CONCAT("T", TEXT(B23, "0000"), "/", VLOOKUP(D23, Internal!$B$35:C$39, 2, FALSE), IF(OR(D23="QA", D23="Revision"), _xlfn.CONCAT("/", H23), "")))</f>
        <v>T0013/D</v>
      </c>
      <c r="D23" s="44" t="s">
        <v>35</v>
      </c>
      <c r="E23" s="43" t="s">
        <v>43</v>
      </c>
      <c r="F23" s="43" t="s">
        <v>38</v>
      </c>
      <c r="G23" s="44" t="s">
        <v>47</v>
      </c>
      <c r="H23" s="43"/>
      <c r="I23" s="46">
        <v>46065.833333333336</v>
      </c>
      <c r="J23" s="46">
        <v>46069.645833333336</v>
      </c>
      <c r="K23" s="45" t="str">
        <f t="shared" ca="1" si="0"/>
        <v>Completed</v>
      </c>
      <c r="L23" s="47">
        <v>1.5</v>
      </c>
      <c r="M23" s="47">
        <v>1.5</v>
      </c>
      <c r="N23" s="45">
        <f>IF(ISBLANK(L23), "", L23*VLOOKUP($F23,Internal!$B$26:$C$32,2,FALSE))</f>
        <v>37.5</v>
      </c>
      <c r="O23" s="45">
        <f>IF(ISBLANK(M23), "", M23*VLOOKUP($F23,Internal!$B$26:$C$32,2,FALSE))</f>
        <v>37.5</v>
      </c>
      <c r="P23" s="44" t="s">
        <v>60</v>
      </c>
    </row>
    <row r="24" spans="2:16" ht="15" thickBot="1" x14ac:dyDescent="0.35">
      <c r="B24" s="41">
        <v>14</v>
      </c>
      <c r="C24" s="42" t="str">
        <f>IF(ISBLANK(D24), "", _xlfn.CONCAT("T", TEXT(B24, "0000"), "/", VLOOKUP(D24, Internal!$B$35:C$39, 2, FALSE), IF(OR(D24="QA", D24="Revision"), _xlfn.CONCAT("/", H24), "")))</f>
        <v>T0014/D</v>
      </c>
      <c r="D24" s="44" t="s">
        <v>35</v>
      </c>
      <c r="E24" s="43" t="s">
        <v>61</v>
      </c>
      <c r="F24" s="43" t="s">
        <v>38</v>
      </c>
      <c r="G24" s="44" t="s">
        <v>47</v>
      </c>
      <c r="H24" s="43"/>
      <c r="I24" s="46">
        <v>46065.833333333336</v>
      </c>
      <c r="J24" s="46">
        <v>46069.645833333336</v>
      </c>
      <c r="K24" s="45" t="str">
        <f t="shared" ca="1" si="0"/>
        <v>Completed</v>
      </c>
      <c r="L24" s="47">
        <v>1.5</v>
      </c>
      <c r="M24" s="47">
        <v>1.25</v>
      </c>
      <c r="N24" s="45">
        <f>IF(ISBLANK(L24), "", L24*VLOOKUP($F24,Internal!$B$26:$C$32,2,FALSE))</f>
        <v>37.5</v>
      </c>
      <c r="O24" s="45">
        <f>IF(ISBLANK(M24), "", M24*VLOOKUP($F24,Internal!$B$26:$C$32,2,FALSE))</f>
        <v>31.25</v>
      </c>
      <c r="P24" s="44" t="s">
        <v>62</v>
      </c>
    </row>
    <row r="25" spans="2:16" ht="15" thickBot="1" x14ac:dyDescent="0.35">
      <c r="B25" s="41">
        <v>15</v>
      </c>
      <c r="C25" s="42" t="str">
        <f>IF(ISBLANK(D25), "", _xlfn.CONCAT("T", TEXT(B25, "0000"), "/", VLOOKUP(D25, Internal!$B$35:C$39, 2, FALSE), IF(OR(D25="QA", D25="Revision"), _xlfn.CONCAT("/", H25), "")))</f>
        <v>T0015/D</v>
      </c>
      <c r="D25" s="44" t="s">
        <v>35</v>
      </c>
      <c r="E25" s="43" t="s">
        <v>31</v>
      </c>
      <c r="F25" s="43" t="s">
        <v>38</v>
      </c>
      <c r="G25" s="44" t="s">
        <v>47</v>
      </c>
      <c r="H25" s="43"/>
      <c r="I25" s="46">
        <v>46065.833333333336</v>
      </c>
      <c r="J25" s="46">
        <v>46069.645833333336</v>
      </c>
      <c r="K25" s="45" t="str">
        <f t="shared" ca="1" si="0"/>
        <v>Completed</v>
      </c>
      <c r="L25" s="47">
        <v>1.5</v>
      </c>
      <c r="M25" s="47">
        <v>1.75</v>
      </c>
      <c r="N25" s="45">
        <f>IF(ISBLANK(L25), "", L25*VLOOKUP($F25,Internal!$B$26:$C$32,2,FALSE))</f>
        <v>37.5</v>
      </c>
      <c r="O25" s="45">
        <f>IF(ISBLANK(M25), "", M25*VLOOKUP($F25,Internal!$B$26:$C$32,2,FALSE))</f>
        <v>43.75</v>
      </c>
      <c r="P25" s="44" t="s">
        <v>63</v>
      </c>
    </row>
    <row r="26" spans="2:16" ht="15" thickBot="1" x14ac:dyDescent="0.35">
      <c r="B26" s="41">
        <v>16</v>
      </c>
      <c r="C26" s="42" t="str">
        <f>IF(ISBLANK(D26), "", _xlfn.CONCAT("T", TEXT(B26, "0000"), "/", VLOOKUP(D26, Internal!$B$35:C$39, 2, FALSE), IF(OR(D26="QA", D26="Revision"), _xlfn.CONCAT("/", H26), "")))</f>
        <v>T0016/D</v>
      </c>
      <c r="D26" s="44" t="s">
        <v>35</v>
      </c>
      <c r="E26" s="43" t="s">
        <v>50</v>
      </c>
      <c r="F26" s="43" t="s">
        <v>38</v>
      </c>
      <c r="G26" s="44" t="s">
        <v>47</v>
      </c>
      <c r="H26" s="43"/>
      <c r="I26" s="46">
        <v>46065.833333333336</v>
      </c>
      <c r="J26" s="46">
        <v>46069.645833333336</v>
      </c>
      <c r="K26" s="45" t="str">
        <f t="shared" ca="1" si="0"/>
        <v>Completed</v>
      </c>
      <c r="L26" s="47">
        <v>1.5</v>
      </c>
      <c r="M26" s="47">
        <v>1.25</v>
      </c>
      <c r="N26" s="45">
        <f>IF(ISBLANK(L26), "", L26*VLOOKUP($F26,Internal!$B$26:$C$32,2,FALSE))</f>
        <v>37.5</v>
      </c>
      <c r="O26" s="45">
        <f>IF(ISBLANK(M26), "", M26*VLOOKUP($F26,Internal!$B$26:$C$32,2,FALSE))</f>
        <v>31.25</v>
      </c>
      <c r="P26" s="44" t="s">
        <v>64</v>
      </c>
    </row>
    <row r="27" spans="2:16" ht="15" thickBot="1" x14ac:dyDescent="0.35">
      <c r="B27" s="41">
        <v>17</v>
      </c>
      <c r="C27" s="42" t="str">
        <f>IF(ISBLANK(D27), "", _xlfn.CONCAT("T", TEXT(B27, "0000"), "/", VLOOKUP(D27, Internal!$B$35:C$39, 2, FALSE), IF(OR(D27="QA", D27="Revision"), _xlfn.CONCAT("/", H27), "")))</f>
        <v>T0017/O</v>
      </c>
      <c r="D27" s="44" t="s">
        <v>54</v>
      </c>
      <c r="E27" s="43" t="s">
        <v>55</v>
      </c>
      <c r="F27" s="43" t="s">
        <v>56</v>
      </c>
      <c r="G27" s="44" t="s">
        <v>57</v>
      </c>
      <c r="H27" s="43"/>
      <c r="I27" s="46">
        <v>46069.645833333336</v>
      </c>
      <c r="J27" s="46">
        <v>46069.722222222219</v>
      </c>
      <c r="K27" s="45" t="str">
        <f t="shared" ca="1" si="0"/>
        <v>Completed</v>
      </c>
      <c r="L27" s="47">
        <v>2</v>
      </c>
      <c r="M27" s="47">
        <v>2</v>
      </c>
      <c r="N27" s="45">
        <f>IF(ISBLANK(L27), "", L27*VLOOKUP($F27,Internal!$B$26:$C$32,2,FALSE))</f>
        <v>0</v>
      </c>
      <c r="O27" s="45">
        <f>IF(ISBLANK(M27), "", M27*VLOOKUP($F27,Internal!$B$26:$C$32,2,FALSE))</f>
        <v>0</v>
      </c>
      <c r="P27" s="44"/>
    </row>
    <row r="28" spans="2:16" x14ac:dyDescent="0.3">
      <c r="B28" s="41">
        <v>18</v>
      </c>
      <c r="C28" s="42" t="str">
        <f>IF(ISBLANK(D28), "", _xlfn.CONCAT("T", TEXT(B28, "0000"), "/", VLOOKUP(D28, Internal!$B$35:C$39, 2, FALSE), IF(OR(D28="QA", D28="Revision"), _xlfn.CONCAT("/", H28), "")))</f>
        <v>T0018/O</v>
      </c>
      <c r="D28" s="44" t="s">
        <v>54</v>
      </c>
      <c r="E28" s="43" t="s">
        <v>55</v>
      </c>
      <c r="F28" s="43" t="s">
        <v>56</v>
      </c>
      <c r="G28" s="44" t="s">
        <v>57</v>
      </c>
      <c r="H28" s="43"/>
      <c r="I28" s="46">
        <v>46072.736111111109</v>
      </c>
      <c r="J28" s="46">
        <v>46072.8125</v>
      </c>
      <c r="K28" s="45" t="str">
        <f t="shared" ca="1" si="0"/>
        <v>Completed</v>
      </c>
      <c r="L28" s="47">
        <v>2</v>
      </c>
      <c r="M28" s="47">
        <v>2</v>
      </c>
      <c r="N28" s="45">
        <f>IF(ISBLANK(L28), "", L28*VLOOKUP($F28,Internal!$B$26:$C$32,2,FALSE))</f>
        <v>0</v>
      </c>
      <c r="O28" s="45">
        <f>IF(ISBLANK(M28), "", M28*VLOOKUP($F28,Internal!$B$26:$C$32,2,FALSE))</f>
        <v>0</v>
      </c>
      <c r="P28" s="44"/>
    </row>
    <row r="29" spans="2:16" x14ac:dyDescent="0.3">
      <c r="B29" s="41">
        <v>19</v>
      </c>
      <c r="C29" s="42" t="str">
        <f>IF(ISBLANK(D29), "", _xlfn.CONCAT("T", TEXT(B29, "0000"), "/", VLOOKUP(D29, Internal!$B$35:C$39, 2, FALSE), IF(OR(D29="QA", D29="Revision"), _xlfn.CONCAT("/", H29), "")))</f>
        <v>T0019/O</v>
      </c>
      <c r="D29" s="44" t="s">
        <v>54</v>
      </c>
      <c r="E29" s="43" t="s">
        <v>55</v>
      </c>
      <c r="F29" s="43" t="s">
        <v>56</v>
      </c>
      <c r="G29" s="44" t="s">
        <v>57</v>
      </c>
      <c r="H29" s="43"/>
      <c r="I29" s="46">
        <v>46076.645833333336</v>
      </c>
      <c r="J29" s="46">
        <v>46076.722222222219</v>
      </c>
      <c r="K29" s="45" t="str">
        <f t="shared" ca="1" si="0"/>
        <v>Completed</v>
      </c>
      <c r="L29" s="47">
        <v>2</v>
      </c>
      <c r="M29" s="47">
        <v>2</v>
      </c>
      <c r="N29" s="45">
        <f>IF(ISBLANK(L29), "", L29*VLOOKUP($F29,Internal!$B$26:$C$32,2,FALSE))</f>
        <v>0</v>
      </c>
      <c r="O29" s="45">
        <f>IF(ISBLANK(M29), "", M29*VLOOKUP($F29,Internal!$B$26:$C$32,2,FALSE))</f>
        <v>0</v>
      </c>
      <c r="P29" s="44"/>
    </row>
    <row r="30" spans="2:16" x14ac:dyDescent="0.3">
      <c r="B30" s="41">
        <v>20</v>
      </c>
      <c r="C30" s="42" t="str">
        <f>IF(ISBLANK(D30), "", _xlfn.CONCAT("T", TEXT(B30, "0000"), "/", VLOOKUP(D30, Internal!$B$35:C$39, 2, FALSE), IF(OR(D30="QA", D30="Revision"), _xlfn.CONCAT("/", H30), "")))</f>
        <v>T0020/O</v>
      </c>
      <c r="D30" s="44" t="s">
        <v>54</v>
      </c>
      <c r="E30" s="43" t="s">
        <v>55</v>
      </c>
      <c r="F30" s="43" t="s">
        <v>56</v>
      </c>
      <c r="G30" s="44" t="s">
        <v>57</v>
      </c>
      <c r="H30" s="43"/>
      <c r="I30" s="46">
        <v>46079.736111111109</v>
      </c>
      <c r="J30" s="46">
        <v>46079.8125</v>
      </c>
      <c r="K30" s="45" t="str">
        <f t="shared" ca="1" si="0"/>
        <v>Completed</v>
      </c>
      <c r="L30" s="47">
        <v>2</v>
      </c>
      <c r="M30" s="47">
        <v>2</v>
      </c>
      <c r="N30" s="45">
        <f>IF(ISBLANK(L30), "", L30*VLOOKUP($F30,Internal!$B$26:$C$32,2,FALSE))</f>
        <v>0</v>
      </c>
      <c r="O30" s="45">
        <f>IF(ISBLANK(M30), "", M30*VLOOKUP($F30,Internal!$B$26:$C$32,2,FALSE))</f>
        <v>0</v>
      </c>
      <c r="P30" s="44"/>
    </row>
    <row r="31" spans="2:16" x14ac:dyDescent="0.3">
      <c r="B31" s="41">
        <v>21</v>
      </c>
      <c r="C31" s="42" t="str">
        <f>IF(ISBLANK(D31), "", _xlfn.CONCAT("T", TEXT(B31, "0000"), "/", VLOOKUP(D31, Internal!$B$35:C$39, 2, FALSE), IF(OR(D31="QA", D31="Revision"), _xlfn.CONCAT("/", H31), "")))</f>
        <v>T0021/QA/T0012/D</v>
      </c>
      <c r="D31" s="44" t="s">
        <v>49</v>
      </c>
      <c r="E31" s="43" t="s">
        <v>46</v>
      </c>
      <c r="F31" s="43" t="s">
        <v>51</v>
      </c>
      <c r="G31" s="44" t="s">
        <v>33</v>
      </c>
      <c r="H31" s="43" t="s">
        <v>65</v>
      </c>
      <c r="I31" s="46">
        <v>46072.833333333336</v>
      </c>
      <c r="J31" s="46">
        <v>46076.645833333336</v>
      </c>
      <c r="K31" s="45" t="str">
        <f t="shared" ca="1" si="0"/>
        <v>Completed</v>
      </c>
      <c r="L31" s="47">
        <v>2</v>
      </c>
      <c r="M31" s="47">
        <v>2.25</v>
      </c>
      <c r="N31" s="45">
        <f>IF(ISBLANK(L31), "", L31*VLOOKUP($F31,Internal!$B$26:$C$32,2,FALSE))</f>
        <v>60</v>
      </c>
      <c r="O31" s="45">
        <f>IF(ISBLANK(M31), "", M31*VLOOKUP($F31,Internal!$B$26:$C$32,2,FALSE))</f>
        <v>67.5</v>
      </c>
      <c r="P31" s="44" t="s">
        <v>66</v>
      </c>
    </row>
    <row r="32" spans="2:16" x14ac:dyDescent="0.3">
      <c r="B32" s="41">
        <v>22</v>
      </c>
      <c r="C32" s="42" t="str">
        <f>IF(ISBLANK(D32), "", _xlfn.CONCAT("T", TEXT(B32, "0000"), "/", VLOOKUP(D32, Internal!$B$35:C$39, 2, FALSE), IF(OR(D32="QA", D32="Revision"), _xlfn.CONCAT("/", H32), "")))</f>
        <v>T0022/QA/T0013/D</v>
      </c>
      <c r="D32" s="44" t="s">
        <v>49</v>
      </c>
      <c r="E32" s="43" t="s">
        <v>43</v>
      </c>
      <c r="F32" s="43" t="s">
        <v>51</v>
      </c>
      <c r="G32" s="44" t="s">
        <v>33</v>
      </c>
      <c r="H32" s="43" t="s">
        <v>67</v>
      </c>
      <c r="I32" s="46">
        <v>46072.833333333336</v>
      </c>
      <c r="J32" s="46">
        <v>46076.645833333336</v>
      </c>
      <c r="K32" s="45" t="str">
        <f t="shared" ca="1" si="0"/>
        <v>Completed</v>
      </c>
      <c r="L32" s="47">
        <v>2</v>
      </c>
      <c r="M32" s="47">
        <v>1.5</v>
      </c>
      <c r="N32" s="45">
        <f>IF(ISBLANK(L32), "", L32*VLOOKUP($F32,Internal!$B$26:$C$32,2,FALSE))</f>
        <v>60</v>
      </c>
      <c r="O32" s="45">
        <f>IF(ISBLANK(M32), "", M32*VLOOKUP($F32,Internal!$B$26:$C$32,2,FALSE))</f>
        <v>45</v>
      </c>
      <c r="P32" s="44" t="s">
        <v>68</v>
      </c>
    </row>
    <row r="33" spans="2:16" x14ac:dyDescent="0.3">
      <c r="B33" s="41">
        <v>23</v>
      </c>
      <c r="C33" s="42" t="str">
        <f>IF(ISBLANK(D33), "", _xlfn.CONCAT("T", TEXT(B33, "0000"), "/", VLOOKUP(D33, Internal!$B$35:C$39, 2, FALSE), IF(OR(D33="QA", D33="Revision"), _xlfn.CONCAT("/", H33), "")))</f>
        <v>T0023/QA/T0014/D</v>
      </c>
      <c r="D33" s="44" t="s">
        <v>49</v>
      </c>
      <c r="E33" s="43" t="s">
        <v>61</v>
      </c>
      <c r="F33" s="43" t="s">
        <v>51</v>
      </c>
      <c r="G33" s="44" t="s">
        <v>33</v>
      </c>
      <c r="H33" s="43" t="s">
        <v>69</v>
      </c>
      <c r="I33" s="46">
        <v>46072.833333333336</v>
      </c>
      <c r="J33" s="46">
        <v>46076.645833333336</v>
      </c>
      <c r="K33" s="45" t="str">
        <f t="shared" ca="1" si="0"/>
        <v>Completed</v>
      </c>
      <c r="L33" s="47">
        <v>2</v>
      </c>
      <c r="M33" s="47">
        <v>1.75</v>
      </c>
      <c r="N33" s="45">
        <f>IF(ISBLANK(L33), "", L33*VLOOKUP($F33,Internal!$B$26:$C$32,2,FALSE))</f>
        <v>60</v>
      </c>
      <c r="O33" s="45">
        <f>IF(ISBLANK(M33), "", M33*VLOOKUP($F33,Internal!$B$26:$C$32,2,FALSE))</f>
        <v>52.5</v>
      </c>
      <c r="P33" s="44" t="s">
        <v>70</v>
      </c>
    </row>
    <row r="34" spans="2:16" x14ac:dyDescent="0.3">
      <c r="B34" s="41">
        <v>24</v>
      </c>
      <c r="C34" s="42" t="str">
        <f>IF(ISBLANK(D34), "", _xlfn.CONCAT("T", TEXT(B34, "0000"), "/", VLOOKUP(D34, Internal!$B$35:C$39, 2, FALSE), IF(OR(D34="QA", D34="Revision"), _xlfn.CONCAT("/", H34), "")))</f>
        <v>T0024/QA/T0015/D</v>
      </c>
      <c r="D34" s="44" t="s">
        <v>49</v>
      </c>
      <c r="E34" s="43" t="s">
        <v>31</v>
      </c>
      <c r="F34" s="43" t="s">
        <v>51</v>
      </c>
      <c r="G34" s="44" t="s">
        <v>33</v>
      </c>
      <c r="H34" s="43" t="s">
        <v>71</v>
      </c>
      <c r="I34" s="46">
        <v>46072.833333333336</v>
      </c>
      <c r="J34" s="46">
        <v>46076.645833333336</v>
      </c>
      <c r="K34" s="45" t="str">
        <f t="shared" ca="1" si="0"/>
        <v>Completed</v>
      </c>
      <c r="L34" s="47">
        <v>2</v>
      </c>
      <c r="M34" s="47">
        <v>2</v>
      </c>
      <c r="N34" s="45">
        <f>IF(ISBLANK(L34), "", L34*VLOOKUP($F34,Internal!$B$26:$C$32,2,FALSE))</f>
        <v>60</v>
      </c>
      <c r="O34" s="45">
        <f>IF(ISBLANK(M34), "", M34*VLOOKUP($F34,Internal!$B$26:$C$32,2,FALSE))</f>
        <v>60</v>
      </c>
      <c r="P34" s="44" t="s">
        <v>72</v>
      </c>
    </row>
    <row r="35" spans="2:16" x14ac:dyDescent="0.3">
      <c r="B35" s="41">
        <v>25</v>
      </c>
      <c r="C35" s="42" t="str">
        <f>IF(ISBLANK(D35), "", _xlfn.CONCAT("T", TEXT(B35, "0000"), "/", VLOOKUP(D35, Internal!$B$35:C$39, 2, FALSE), IF(OR(D35="QA", D35="Revision"), _xlfn.CONCAT("/", H35), "")))</f>
        <v>T0025/QA/T0016/D</v>
      </c>
      <c r="D35" s="44" t="s">
        <v>49</v>
      </c>
      <c r="E35" s="43" t="s">
        <v>50</v>
      </c>
      <c r="F35" s="43" t="s">
        <v>51</v>
      </c>
      <c r="G35" s="44" t="s">
        <v>33</v>
      </c>
      <c r="H35" s="43" t="s">
        <v>73</v>
      </c>
      <c r="I35" s="46">
        <v>46072.833333333336</v>
      </c>
      <c r="J35" s="46">
        <v>46076.645833333336</v>
      </c>
      <c r="K35" s="45" t="str">
        <f t="shared" ca="1" si="0"/>
        <v>Completed</v>
      </c>
      <c r="L35" s="47">
        <v>2</v>
      </c>
      <c r="M35" s="47">
        <v>2</v>
      </c>
      <c r="N35" s="45">
        <f>IF(ISBLANK(L35), "", L35*VLOOKUP($F35,Internal!$B$26:$C$32,2,FALSE))</f>
        <v>60</v>
      </c>
      <c r="O35" s="45">
        <f>IF(ISBLANK(M35), "", M35*VLOOKUP($F35,Internal!$B$26:$C$32,2,FALSE))</f>
        <v>60</v>
      </c>
      <c r="P35" s="44" t="s">
        <v>74</v>
      </c>
    </row>
    <row r="36" spans="2:16" ht="15" thickBot="1" x14ac:dyDescent="0.35">
      <c r="B36" s="41">
        <v>26</v>
      </c>
      <c r="C36" s="42" t="str">
        <f>IF(ISBLANK(D36), "", _xlfn.CONCAT("T", TEXT(B36, "0000"), "/", VLOOKUP(D36, Internal!$B$35:C$39, 2, FALSE), IF(OR(D36="QA", D36="Revision"), _xlfn.CONCAT("/", H36), "")))</f>
        <v>T0026/O</v>
      </c>
      <c r="D36" s="44" t="s">
        <v>54</v>
      </c>
      <c r="E36" s="43" t="s">
        <v>55</v>
      </c>
      <c r="F36" s="43" t="s">
        <v>56</v>
      </c>
      <c r="G36" s="44" t="s">
        <v>57</v>
      </c>
      <c r="H36" s="43"/>
      <c r="I36" s="46">
        <v>46083.645833333336</v>
      </c>
      <c r="J36" s="46">
        <v>46083.736111111109</v>
      </c>
      <c r="K36" s="45" t="str">
        <f t="shared" ca="1" si="0"/>
        <v>Completed</v>
      </c>
      <c r="L36" s="47">
        <v>2</v>
      </c>
      <c r="M36" s="47">
        <v>2</v>
      </c>
      <c r="N36" s="45">
        <f>IF(ISBLANK(L36), "", L36*VLOOKUP($F36,Internal!$B$26:$C$32,2,FALSE))</f>
        <v>0</v>
      </c>
      <c r="O36" s="45">
        <f>IF(ISBLANK(M36), "", M36*VLOOKUP($F36,Internal!$B$26:$C$32,2,FALSE))</f>
        <v>0</v>
      </c>
      <c r="P36" s="44"/>
    </row>
    <row r="37" spans="2:16" ht="15" thickBot="1" x14ac:dyDescent="0.35">
      <c r="B37" s="41">
        <v>27</v>
      </c>
      <c r="C37" s="42" t="str">
        <f>IF(ISBLANK(D37), "", _xlfn.CONCAT("T", TEXT(B37, "0000"), "/", VLOOKUP(D37, Internal!$B$35:C$39, 2, FALSE), IF(OR(D37="QA", D37="Revision"), _xlfn.CONCAT("/", H37), "")))</f>
        <v>T0027/O</v>
      </c>
      <c r="D37" s="44" t="s">
        <v>54</v>
      </c>
      <c r="E37" s="43" t="s">
        <v>55</v>
      </c>
      <c r="F37" s="43" t="s">
        <v>56</v>
      </c>
      <c r="G37" s="44" t="s">
        <v>57</v>
      </c>
      <c r="H37" s="43"/>
      <c r="I37" s="46">
        <v>46086.736111111109</v>
      </c>
      <c r="J37" s="46">
        <v>46086.8125</v>
      </c>
      <c r="K37" s="45" t="str">
        <f t="shared" ca="1" si="0"/>
        <v>Completed</v>
      </c>
      <c r="L37" s="47">
        <v>2</v>
      </c>
      <c r="M37" s="47">
        <v>2</v>
      </c>
      <c r="N37" s="45">
        <f>IF(ISBLANK(L37), "", L37*VLOOKUP($F37,Internal!$B$26:$C$32,2,FALSE))</f>
        <v>0</v>
      </c>
      <c r="O37" s="45">
        <f>IF(ISBLANK(M37), "", M37*VLOOKUP($F37,Internal!$B$26:$C$32,2,FALSE))</f>
        <v>0</v>
      </c>
      <c r="P37" s="44"/>
    </row>
    <row r="38" spans="2:16" ht="15" thickBot="1" x14ac:dyDescent="0.35">
      <c r="B38" s="41">
        <v>28</v>
      </c>
      <c r="C38" s="42" t="str">
        <f>IF(ISBLANK(D38), "", _xlfn.CONCAT("T", TEXT(B38, "0000"), "/", VLOOKUP(D38, Internal!$B$35:C$39, 2, FALSE), IF(OR(D38="QA", D38="Revision"), _xlfn.CONCAT("/", H38), "")))</f>
        <v>T0028/QA/T0021/QA/T0012/D</v>
      </c>
      <c r="D38" s="44" t="s">
        <v>49</v>
      </c>
      <c r="E38" s="43" t="s">
        <v>46</v>
      </c>
      <c r="F38" s="43" t="s">
        <v>51</v>
      </c>
      <c r="G38" s="44" t="s">
        <v>33</v>
      </c>
      <c r="H38" s="43" t="s">
        <v>75</v>
      </c>
      <c r="I38" s="46">
        <v>46076.833333333336</v>
      </c>
      <c r="J38" s="46">
        <v>46083.645833333336</v>
      </c>
      <c r="K38" s="45" t="str">
        <f t="shared" ca="1" si="0"/>
        <v>Completed</v>
      </c>
      <c r="L38" s="47">
        <v>2.5</v>
      </c>
      <c r="M38" s="47">
        <v>2.25</v>
      </c>
      <c r="N38" s="45">
        <f>IF(ISBLANK(L38), "", L38*VLOOKUP($F38,Internal!$B$26:$C$32,2,FALSE))</f>
        <v>75</v>
      </c>
      <c r="O38" s="45">
        <f>IF(ISBLANK(M38), "", M38*VLOOKUP($F38,Internal!$B$26:$C$32,2,FALSE))</f>
        <v>67.5</v>
      </c>
      <c r="P38" s="44" t="s">
        <v>76</v>
      </c>
    </row>
    <row r="39" spans="2:16" ht="15" thickBot="1" x14ac:dyDescent="0.35">
      <c r="B39" s="41">
        <v>29</v>
      </c>
      <c r="C39" s="42" t="str">
        <f>IF(ISBLANK(D39), "", _xlfn.CONCAT("T", TEXT(B39, "0000"), "/", VLOOKUP(D39, Internal!$B$35:C$39, 2, FALSE), IF(OR(D39="QA", D39="Revision"), _xlfn.CONCAT("/", H39), "")))</f>
        <v>T0029/QA/T0022/QA/T0013/D</v>
      </c>
      <c r="D39" s="44" t="s">
        <v>49</v>
      </c>
      <c r="E39" s="43" t="s">
        <v>43</v>
      </c>
      <c r="F39" s="43" t="s">
        <v>51</v>
      </c>
      <c r="G39" s="44" t="s">
        <v>33</v>
      </c>
      <c r="H39" s="43" t="s">
        <v>77</v>
      </c>
      <c r="I39" s="46">
        <v>46076.833333333336</v>
      </c>
      <c r="J39" s="46">
        <v>46083.645833333336</v>
      </c>
      <c r="K39" s="45" t="str">
        <f t="shared" ca="1" si="0"/>
        <v>Completed</v>
      </c>
      <c r="L39" s="47">
        <v>2.5</v>
      </c>
      <c r="M39" s="47">
        <v>2</v>
      </c>
      <c r="N39" s="45">
        <f>IF(ISBLANK(L39), "", L39*VLOOKUP($F39,Internal!$B$26:$C$32,2,FALSE))</f>
        <v>75</v>
      </c>
      <c r="O39" s="45">
        <f>IF(ISBLANK(M39), "", M39*VLOOKUP($F39,Internal!$B$26:$C$32,2,FALSE))</f>
        <v>60</v>
      </c>
      <c r="P39" s="44" t="s">
        <v>78</v>
      </c>
    </row>
    <row r="40" spans="2:16" ht="15" thickBot="1" x14ac:dyDescent="0.35">
      <c r="B40" s="41">
        <v>30</v>
      </c>
      <c r="C40" s="42" t="str">
        <f>IF(ISBLANK(D40), "", _xlfn.CONCAT("T", TEXT(B40, "0000"), "/", VLOOKUP(D40, Internal!$B$35:C$39, 2, FALSE), IF(OR(D40="QA", D40="Revision"), _xlfn.CONCAT("/", H40), "")))</f>
        <v>T0030/QA/T0023/QA/T0014/D</v>
      </c>
      <c r="D40" s="44" t="s">
        <v>49</v>
      </c>
      <c r="E40" s="43" t="s">
        <v>61</v>
      </c>
      <c r="F40" s="43" t="s">
        <v>51</v>
      </c>
      <c r="G40" s="44" t="s">
        <v>33</v>
      </c>
      <c r="H40" s="43" t="s">
        <v>79</v>
      </c>
      <c r="I40" s="46">
        <v>46076.833333333336</v>
      </c>
      <c r="J40" s="46">
        <v>46083.645833333336</v>
      </c>
      <c r="K40" s="45" t="str">
        <f t="shared" ca="1" si="0"/>
        <v>Completed</v>
      </c>
      <c r="L40" s="47">
        <v>2.5</v>
      </c>
      <c r="M40" s="47">
        <v>2.75</v>
      </c>
      <c r="N40" s="45">
        <f>IF(ISBLANK(L40), "", L40*VLOOKUP($F40,Internal!$B$26:$C$32,2,FALSE))</f>
        <v>75</v>
      </c>
      <c r="O40" s="45">
        <f>IF(ISBLANK(M40), "", M40*VLOOKUP($F40,Internal!$B$26:$C$32,2,FALSE))</f>
        <v>82.5</v>
      </c>
      <c r="P40" s="44" t="s">
        <v>80</v>
      </c>
    </row>
    <row r="41" spans="2:16" ht="15" thickBot="1" x14ac:dyDescent="0.35">
      <c r="B41" s="41">
        <v>31</v>
      </c>
      <c r="C41" s="42" t="str">
        <f>IF(ISBLANK(D41), "", _xlfn.CONCAT("T", TEXT(B41, "0000"), "/", VLOOKUP(D41, Internal!$B$35:C$39, 2, FALSE), IF(OR(D41="QA", D41="Revision"), _xlfn.CONCAT("/", H41), "")))</f>
        <v>T0031/QA/T0024/QA/T0015/D</v>
      </c>
      <c r="D41" s="44" t="s">
        <v>49</v>
      </c>
      <c r="E41" s="43" t="s">
        <v>31</v>
      </c>
      <c r="F41" s="43" t="s">
        <v>51</v>
      </c>
      <c r="G41" s="44" t="s">
        <v>33</v>
      </c>
      <c r="H41" s="43" t="s">
        <v>81</v>
      </c>
      <c r="I41" s="46">
        <v>46076.833333333336</v>
      </c>
      <c r="J41" s="46">
        <v>46083.645833333336</v>
      </c>
      <c r="K41" s="45" t="str">
        <f t="shared" ca="1" si="0"/>
        <v>Completed</v>
      </c>
      <c r="L41" s="47">
        <v>2.5</v>
      </c>
      <c r="M41" s="47">
        <v>1.5</v>
      </c>
      <c r="N41" s="45">
        <f>IF(ISBLANK(L41), "", L41*VLOOKUP($F41,Internal!$B$26:$C$32,2,FALSE))</f>
        <v>75</v>
      </c>
      <c r="O41" s="45">
        <f>IF(ISBLANK(M41), "", M41*VLOOKUP($F41,Internal!$B$26:$C$32,2,FALSE))</f>
        <v>45</v>
      </c>
      <c r="P41" s="44" t="s">
        <v>82</v>
      </c>
    </row>
    <row r="42" spans="2:16" ht="15" thickBot="1" x14ac:dyDescent="0.35">
      <c r="B42" s="41">
        <v>32</v>
      </c>
      <c r="C42" s="42" t="str">
        <f>IF(ISBLANK(D42), "", _xlfn.CONCAT("T", TEXT(B42, "0000"), "/", VLOOKUP(D42, Internal!$B$35:C$39, 2, FALSE), IF(OR(D42="QA", D42="Revision"), _xlfn.CONCAT("/", H42), "")))</f>
        <v>T0032/QA/T0025/QA/T0016/D</v>
      </c>
      <c r="D42" s="44" t="s">
        <v>49</v>
      </c>
      <c r="E42" s="43" t="s">
        <v>50</v>
      </c>
      <c r="F42" s="43" t="s">
        <v>51</v>
      </c>
      <c r="G42" s="44" t="s">
        <v>33</v>
      </c>
      <c r="H42" s="43" t="s">
        <v>83</v>
      </c>
      <c r="I42" s="46">
        <v>46076.833333333336</v>
      </c>
      <c r="J42" s="46">
        <v>46083.645833333336</v>
      </c>
      <c r="K42" s="45" t="str">
        <f t="shared" ca="1" si="0"/>
        <v>Completed</v>
      </c>
      <c r="L42" s="47">
        <v>2.5</v>
      </c>
      <c r="M42" s="47">
        <v>2.75</v>
      </c>
      <c r="N42" s="45">
        <f>IF(ISBLANK(L42), "", L42*VLOOKUP($F42,Internal!$B$26:$C$32,2,FALSE))</f>
        <v>75</v>
      </c>
      <c r="O42" s="45">
        <f>IF(ISBLANK(M42), "", M42*VLOOKUP($F42,Internal!$B$26:$C$32,2,FALSE))</f>
        <v>82.5</v>
      </c>
      <c r="P42" s="44" t="s">
        <v>84</v>
      </c>
    </row>
    <row r="43" spans="2:16" ht="15" thickBot="1" x14ac:dyDescent="0.35">
      <c r="B43" s="41">
        <v>33</v>
      </c>
      <c r="C43" s="42" t="str">
        <f>IF(ISBLANK(D43), "", _xlfn.CONCAT("T", TEXT(B43, "0000"), "/", VLOOKUP(D43, Internal!$B$35:C$39, 2, FALSE), IF(OR(D43="QA", D43="Revision"), _xlfn.CONCAT("/", H43), "")))</f>
        <v>T0033/O</v>
      </c>
      <c r="D43" s="44" t="s">
        <v>54</v>
      </c>
      <c r="E43" s="43" t="s">
        <v>55</v>
      </c>
      <c r="F43" s="43" t="s">
        <v>56</v>
      </c>
      <c r="G43" s="44" t="s">
        <v>57</v>
      </c>
      <c r="H43" s="43"/>
      <c r="I43" s="46">
        <v>46090.645833333336</v>
      </c>
      <c r="J43" s="46">
        <v>46090.722222222219</v>
      </c>
      <c r="K43" s="45" t="str">
        <f t="shared" ca="1" si="0"/>
        <v>Completed</v>
      </c>
      <c r="L43" s="47">
        <v>2</v>
      </c>
      <c r="M43" s="47">
        <v>2</v>
      </c>
      <c r="N43" s="45">
        <f>IF(ISBLANK(L43), "", L43*VLOOKUP($F43,Internal!$B$26:$C$32,2,FALSE))</f>
        <v>0</v>
      </c>
      <c r="O43" s="45">
        <f>IF(ISBLANK(M43), "", M43*VLOOKUP($F43,Internal!$B$26:$C$32,2,FALSE))</f>
        <v>0</v>
      </c>
      <c r="P43" s="44"/>
    </row>
    <row r="44" spans="2:16" x14ac:dyDescent="0.3">
      <c r="B44" s="41">
        <v>34</v>
      </c>
      <c r="C44" s="42" t="str">
        <f>IF(ISBLANK(D44), "", _xlfn.CONCAT("T", TEXT(B44, "0000"), "/", VLOOKUP(D44, Internal!$B$35:C$39, 2, FALSE), IF(OR(D44="QA", D44="Revision"), _xlfn.CONCAT("/", H44), "")))</f>
        <v>T0034/O</v>
      </c>
      <c r="D44" s="44" t="s">
        <v>54</v>
      </c>
      <c r="E44" s="43" t="s">
        <v>55</v>
      </c>
      <c r="F44" s="43" t="s">
        <v>56</v>
      </c>
      <c r="G44" s="44" t="s">
        <v>57</v>
      </c>
      <c r="H44" s="43"/>
      <c r="I44" s="46">
        <v>46093.736111111109</v>
      </c>
      <c r="J44" s="46">
        <v>46093.8125</v>
      </c>
      <c r="K44" s="45" t="str">
        <f t="shared" ca="1" si="0"/>
        <v>Completed</v>
      </c>
      <c r="L44" s="47">
        <v>2</v>
      </c>
      <c r="M44" s="47">
        <v>2</v>
      </c>
      <c r="N44" s="45">
        <f>IF(ISBLANK(L44), "", L44*VLOOKUP($F44,Internal!$B$26:$C$32,2,FALSE))</f>
        <v>0</v>
      </c>
      <c r="O44" s="45">
        <f>IF(ISBLANK(M44), "", M44*VLOOKUP($F44,Internal!$B$26:$C$32,2,FALSE))</f>
        <v>0</v>
      </c>
      <c r="P44" s="44"/>
    </row>
    <row r="45" spans="2:16" x14ac:dyDescent="0.3">
      <c r="B45" s="41">
        <v>35</v>
      </c>
      <c r="C45" s="42" t="str">
        <f>IF(ISBLANK(D45), "", _xlfn.CONCAT("T", TEXT(B45, "0000"), "/", VLOOKUP(D45, Internal!$B$35:C$39, 2, FALSE), IF(OR(D45="QA", D45="Revision"), _xlfn.CONCAT("/", H45), "")))</f>
        <v>T0035/D</v>
      </c>
      <c r="D45" s="44" t="s">
        <v>35</v>
      </c>
      <c r="E45" s="43" t="s">
        <v>46</v>
      </c>
      <c r="F45" s="43" t="s">
        <v>38</v>
      </c>
      <c r="G45" s="44" t="s">
        <v>47</v>
      </c>
      <c r="H45" s="43" t="s">
        <v>65</v>
      </c>
      <c r="I45" s="46">
        <v>46083.645833333336</v>
      </c>
      <c r="J45" s="46">
        <v>46090.854166666664</v>
      </c>
      <c r="K45" s="45" t="str">
        <f t="shared" ca="1" si="0"/>
        <v>Completed</v>
      </c>
      <c r="L45" s="47">
        <v>2.5</v>
      </c>
      <c r="M45" s="47">
        <v>3</v>
      </c>
      <c r="N45" s="45">
        <f>IF(ISBLANK(L45), "", L45*VLOOKUP($F45,Internal!$B$26:$C$32,2,FALSE))</f>
        <v>62.5</v>
      </c>
      <c r="O45" s="45">
        <f>IF(ISBLANK(M45), "", M45*VLOOKUP($F45,Internal!$B$26:$C$32,2,FALSE))</f>
        <v>75</v>
      </c>
      <c r="P45" s="44" t="s">
        <v>85</v>
      </c>
    </row>
    <row r="46" spans="2:16" x14ac:dyDescent="0.3">
      <c r="B46" s="41">
        <v>36</v>
      </c>
      <c r="C46" s="42" t="str">
        <f>IF(ISBLANK(D46), "", _xlfn.CONCAT("T", TEXT(B46, "0000"), "/", VLOOKUP(D46, Internal!$B$35:C$39, 2, FALSE), IF(OR(D46="QA", D46="Revision"), _xlfn.CONCAT("/", H46), "")))</f>
        <v>T0036/D</v>
      </c>
      <c r="D46" s="44" t="s">
        <v>35</v>
      </c>
      <c r="E46" s="43" t="s">
        <v>43</v>
      </c>
      <c r="F46" s="43" t="s">
        <v>38</v>
      </c>
      <c r="G46" s="44" t="s">
        <v>47</v>
      </c>
      <c r="H46" s="43" t="s">
        <v>67</v>
      </c>
      <c r="I46" s="46">
        <v>46083.645833333336</v>
      </c>
      <c r="J46" s="46">
        <v>46090.854166666664</v>
      </c>
      <c r="K46" s="45" t="str">
        <f t="shared" ca="1" si="0"/>
        <v>Completed</v>
      </c>
      <c r="L46" s="47">
        <v>2.5</v>
      </c>
      <c r="M46" s="47">
        <v>3.25</v>
      </c>
      <c r="N46" s="45">
        <f>IF(ISBLANK(L46), "", L46*VLOOKUP($F46,Internal!$B$26:$C$32,2,FALSE))</f>
        <v>62.5</v>
      </c>
      <c r="O46" s="45">
        <f>IF(ISBLANK(M46), "", M46*VLOOKUP($F46,Internal!$B$26:$C$32,2,FALSE))</f>
        <v>81.25</v>
      </c>
      <c r="P46" s="44" t="s">
        <v>86</v>
      </c>
    </row>
    <row r="47" spans="2:16" x14ac:dyDescent="0.3">
      <c r="B47" s="41">
        <v>37</v>
      </c>
      <c r="C47" s="42" t="str">
        <f>IF(ISBLANK(D47), "", _xlfn.CONCAT("T", TEXT(B47, "0000"), "/", VLOOKUP(D47, Internal!$B$35:C$39, 2, FALSE), IF(OR(D47="QA", D47="Revision"), _xlfn.CONCAT("/", H47), "")))</f>
        <v>T0037/D</v>
      </c>
      <c r="D47" s="44" t="s">
        <v>35</v>
      </c>
      <c r="E47" s="43" t="s">
        <v>61</v>
      </c>
      <c r="F47" s="43" t="s">
        <v>38</v>
      </c>
      <c r="G47" s="44" t="s">
        <v>47</v>
      </c>
      <c r="H47" s="43" t="s">
        <v>69</v>
      </c>
      <c r="I47" s="46">
        <v>46083.645833333336</v>
      </c>
      <c r="J47" s="46">
        <v>46090.854166666664</v>
      </c>
      <c r="K47" s="45" t="str">
        <f t="shared" ca="1" si="0"/>
        <v>Completed</v>
      </c>
      <c r="L47" s="47">
        <v>2.5</v>
      </c>
      <c r="M47" s="47">
        <v>2.75</v>
      </c>
      <c r="N47" s="45">
        <f>IF(ISBLANK(L47), "", L47*VLOOKUP($F47,Internal!$B$26:$C$32,2,FALSE))</f>
        <v>62.5</v>
      </c>
      <c r="O47" s="45">
        <f>IF(ISBLANK(M47), "", M47*VLOOKUP($F47,Internal!$B$26:$C$32,2,FALSE))</f>
        <v>68.75</v>
      </c>
      <c r="P47" s="44" t="s">
        <v>87</v>
      </c>
    </row>
    <row r="48" spans="2:16" x14ac:dyDescent="0.3">
      <c r="B48" s="41">
        <v>38</v>
      </c>
      <c r="C48" s="42" t="str">
        <f>IF(ISBLANK(D48), "", _xlfn.CONCAT("T", TEXT(B48, "0000"), "/", VLOOKUP(D48, Internal!$B$35:C$39, 2, FALSE), IF(OR(D48="QA", D48="Revision"), _xlfn.CONCAT("/", H48), "")))</f>
        <v>T0038/D</v>
      </c>
      <c r="D48" s="44" t="s">
        <v>35</v>
      </c>
      <c r="E48" s="43" t="s">
        <v>31</v>
      </c>
      <c r="F48" s="43" t="s">
        <v>38</v>
      </c>
      <c r="G48" s="44" t="s">
        <v>47</v>
      </c>
      <c r="H48" s="43" t="s">
        <v>71</v>
      </c>
      <c r="I48" s="46">
        <v>46083.645833333336</v>
      </c>
      <c r="J48" s="46">
        <v>46090.854166666664</v>
      </c>
      <c r="K48" s="45" t="str">
        <f t="shared" ca="1" si="0"/>
        <v>Completed</v>
      </c>
      <c r="L48" s="47">
        <v>2.5</v>
      </c>
      <c r="M48" s="47">
        <v>2</v>
      </c>
      <c r="N48" s="45">
        <f>IF(ISBLANK(L48), "", L48*VLOOKUP($F48,Internal!$B$26:$C$32,2,FALSE))</f>
        <v>62.5</v>
      </c>
      <c r="O48" s="45">
        <f>IF(ISBLANK(M48), "", M48*VLOOKUP($F48,Internal!$B$26:$C$32,2,FALSE))</f>
        <v>50</v>
      </c>
      <c r="P48" s="44" t="s">
        <v>88</v>
      </c>
    </row>
    <row r="49" spans="2:16" x14ac:dyDescent="0.3">
      <c r="B49" s="41">
        <v>39</v>
      </c>
      <c r="C49" s="42" t="str">
        <f>IF(ISBLANK(D49), "", _xlfn.CONCAT("T", TEXT(B49, "0000"), "/", VLOOKUP(D49, Internal!$B$35:C$39, 2, FALSE), IF(OR(D49="QA", D49="Revision"), _xlfn.CONCAT("/", H49), "")))</f>
        <v>T0039/D</v>
      </c>
      <c r="D49" s="44" t="s">
        <v>35</v>
      </c>
      <c r="E49" s="43" t="s">
        <v>50</v>
      </c>
      <c r="F49" s="43" t="s">
        <v>38</v>
      </c>
      <c r="G49" s="44" t="s">
        <v>47</v>
      </c>
      <c r="H49" s="43" t="s">
        <v>73</v>
      </c>
      <c r="I49" s="46">
        <v>46083.645833333336</v>
      </c>
      <c r="J49" s="46">
        <v>46090.854166666664</v>
      </c>
      <c r="K49" s="45" t="str">
        <f t="shared" ca="1" si="0"/>
        <v>Completed</v>
      </c>
      <c r="L49" s="47">
        <v>2.5</v>
      </c>
      <c r="M49" s="47">
        <v>2.25</v>
      </c>
      <c r="N49" s="45">
        <f>IF(ISBLANK(L49), "", L49*VLOOKUP($F49,Internal!$B$26:$C$32,2,FALSE))</f>
        <v>62.5</v>
      </c>
      <c r="O49" s="45">
        <f>IF(ISBLANK(M49), "", M49*VLOOKUP($F49,Internal!$B$26:$C$32,2,FALSE))</f>
        <v>56.25</v>
      </c>
      <c r="P49" s="44" t="s">
        <v>89</v>
      </c>
    </row>
    <row r="50" spans="2:16" ht="15" thickBot="1" x14ac:dyDescent="0.35">
      <c r="B50" s="41">
        <v>40</v>
      </c>
      <c r="C50" s="42" t="str">
        <f>IF(ISBLANK(D50), "", _xlfn.CONCAT("T", TEXT(B50, "0000"), "/", VLOOKUP(D50, Internal!$B$35:C$39, 2, FALSE), IF(OR(D50="QA", D50="Revision"), _xlfn.CONCAT("/", H50), "")))</f>
        <v>T0040/D</v>
      </c>
      <c r="D50" s="44" t="s">
        <v>35</v>
      </c>
      <c r="E50" s="43" t="s">
        <v>46</v>
      </c>
      <c r="F50" s="43" t="s">
        <v>38</v>
      </c>
      <c r="G50" s="44" t="s">
        <v>47</v>
      </c>
      <c r="H50" s="43" t="s">
        <v>65</v>
      </c>
      <c r="I50" s="46">
        <v>46083.645833333336</v>
      </c>
      <c r="J50" s="46">
        <v>46090.854166666664</v>
      </c>
      <c r="K50" s="45" t="str">
        <f t="shared" ca="1" si="0"/>
        <v>Completed</v>
      </c>
      <c r="L50" s="47">
        <v>2.5</v>
      </c>
      <c r="M50" s="47">
        <v>2.5</v>
      </c>
      <c r="N50" s="45">
        <f>IF(ISBLANK(L50), "", L50*VLOOKUP($F50,Internal!$B$26:$C$32,2,FALSE))</f>
        <v>62.5</v>
      </c>
      <c r="O50" s="45">
        <f>IF(ISBLANK(M50), "", M50*VLOOKUP($F50,Internal!$B$26:$C$32,2,FALSE))</f>
        <v>62.5</v>
      </c>
      <c r="P50" s="44" t="s">
        <v>90</v>
      </c>
    </row>
    <row r="51" spans="2:16" ht="15" thickBot="1" x14ac:dyDescent="0.35">
      <c r="B51" s="41">
        <v>41</v>
      </c>
      <c r="C51" s="42" t="str">
        <f>IF(ISBLANK(D51), "", _xlfn.CONCAT("T", TEXT(B51, "0000"), "/", VLOOKUP(D51, Internal!$B$35:C$39, 2, FALSE), IF(OR(D51="QA", D51="Revision"), _xlfn.CONCAT("/", H51), "")))</f>
        <v>T0041/D</v>
      </c>
      <c r="D51" s="44" t="s">
        <v>35</v>
      </c>
      <c r="E51" s="43" t="s">
        <v>43</v>
      </c>
      <c r="F51" s="43" t="s">
        <v>38</v>
      </c>
      <c r="G51" s="44" t="s">
        <v>47</v>
      </c>
      <c r="H51" s="43" t="s">
        <v>67</v>
      </c>
      <c r="I51" s="46">
        <v>46083.645833333336</v>
      </c>
      <c r="J51" s="46">
        <v>46090.854166666664</v>
      </c>
      <c r="K51" s="45" t="str">
        <f t="shared" ca="1" si="0"/>
        <v>Completed</v>
      </c>
      <c r="L51" s="47">
        <v>2.5</v>
      </c>
      <c r="M51" s="47">
        <v>2.75</v>
      </c>
      <c r="N51" s="45">
        <f>IF(ISBLANK(L51), "", L51*VLOOKUP($F51,Internal!$B$26:$C$32,2,FALSE))</f>
        <v>62.5</v>
      </c>
      <c r="O51" s="45">
        <f>IF(ISBLANK(M51), "", M51*VLOOKUP($F51,Internal!$B$26:$C$32,2,FALSE))</f>
        <v>68.75</v>
      </c>
      <c r="P51" s="44" t="s">
        <v>91</v>
      </c>
    </row>
    <row r="52" spans="2:16" ht="15" thickBot="1" x14ac:dyDescent="0.35">
      <c r="B52" s="41">
        <v>42</v>
      </c>
      <c r="C52" s="42" t="str">
        <f>IF(ISBLANK(D52), "", _xlfn.CONCAT("T", TEXT(B52, "0000"), "/", VLOOKUP(D52, Internal!$B$35:C$39, 2, FALSE), IF(OR(D52="QA", D52="Revision"), _xlfn.CONCAT("/", H52), "")))</f>
        <v>T0042/D</v>
      </c>
      <c r="D52" s="44" t="s">
        <v>35</v>
      </c>
      <c r="E52" s="43" t="s">
        <v>61</v>
      </c>
      <c r="F52" s="43" t="s">
        <v>38</v>
      </c>
      <c r="G52" s="44" t="s">
        <v>47</v>
      </c>
      <c r="H52" s="43" t="s">
        <v>69</v>
      </c>
      <c r="I52" s="46">
        <v>46083.645833333336</v>
      </c>
      <c r="J52" s="46">
        <v>46090.854166666664</v>
      </c>
      <c r="K52" s="45" t="str">
        <f t="shared" ca="1" si="0"/>
        <v>Completed</v>
      </c>
      <c r="L52" s="47">
        <v>2.5</v>
      </c>
      <c r="M52" s="47">
        <v>2.25</v>
      </c>
      <c r="N52" s="45">
        <f>IF(ISBLANK(L52), "", L52*VLOOKUP($F52,Internal!$B$26:$C$32,2,FALSE))</f>
        <v>62.5</v>
      </c>
      <c r="O52" s="45">
        <f>IF(ISBLANK(M52), "", M52*VLOOKUP($F52,Internal!$B$26:$C$32,2,FALSE))</f>
        <v>56.25</v>
      </c>
      <c r="P52" s="44" t="s">
        <v>92</v>
      </c>
    </row>
    <row r="53" spans="2:16" ht="15" thickBot="1" x14ac:dyDescent="0.35">
      <c r="B53" s="41">
        <v>43</v>
      </c>
      <c r="C53" s="42" t="str">
        <f>IF(ISBLANK(D53), "", _xlfn.CONCAT("T", TEXT(B53, "0000"), "/", VLOOKUP(D53, Internal!$B$35:C$39, 2, FALSE), IF(OR(D53="QA", D53="Revision"), _xlfn.CONCAT("/", H53), "")))</f>
        <v>T0043/D</v>
      </c>
      <c r="D53" s="44" t="s">
        <v>35</v>
      </c>
      <c r="E53" s="43" t="s">
        <v>31</v>
      </c>
      <c r="F53" s="43" t="s">
        <v>38</v>
      </c>
      <c r="G53" s="44" t="s">
        <v>47</v>
      </c>
      <c r="H53" s="43" t="s">
        <v>71</v>
      </c>
      <c r="I53" s="46">
        <v>46083.645833333336</v>
      </c>
      <c r="J53" s="46">
        <v>46090.854166666664</v>
      </c>
      <c r="K53" s="45" t="str">
        <f t="shared" ca="1" si="0"/>
        <v>Completed</v>
      </c>
      <c r="L53" s="47">
        <v>2.5</v>
      </c>
      <c r="M53" s="47">
        <v>2.75</v>
      </c>
      <c r="N53" s="45">
        <f>IF(ISBLANK(L53), "", L53*VLOOKUP($F53,Internal!$B$26:$C$32,2,FALSE))</f>
        <v>62.5</v>
      </c>
      <c r="O53" s="45">
        <f>IF(ISBLANK(M53), "", M53*VLOOKUP($F53,Internal!$B$26:$C$32,2,FALSE))</f>
        <v>68.75</v>
      </c>
      <c r="P53" s="44" t="s">
        <v>93</v>
      </c>
    </row>
    <row r="54" spans="2:16" ht="15" thickBot="1" x14ac:dyDescent="0.35">
      <c r="B54" s="41">
        <v>44</v>
      </c>
      <c r="C54" s="42" t="str">
        <f>IF(ISBLANK(D54), "", _xlfn.CONCAT("T", TEXT(B54, "0000"), "/", VLOOKUP(D54, Internal!$B$35:C$39, 2, FALSE), IF(OR(D54="QA", D54="Revision"), _xlfn.CONCAT("/", H54), "")))</f>
        <v>T0044/D</v>
      </c>
      <c r="D54" s="44" t="s">
        <v>35</v>
      </c>
      <c r="E54" s="43" t="s">
        <v>50</v>
      </c>
      <c r="F54" s="43" t="s">
        <v>38</v>
      </c>
      <c r="G54" s="44" t="s">
        <v>47</v>
      </c>
      <c r="H54" s="43" t="s">
        <v>73</v>
      </c>
      <c r="I54" s="46">
        <v>46083.645833333336</v>
      </c>
      <c r="J54" s="46">
        <v>46090.854166666664</v>
      </c>
      <c r="K54" s="45" t="str">
        <f t="shared" ca="1" si="0"/>
        <v>Completed</v>
      </c>
      <c r="L54" s="47">
        <v>2.5</v>
      </c>
      <c r="M54" s="47">
        <v>2</v>
      </c>
      <c r="N54" s="45">
        <f>IF(ISBLANK(L54), "", L54*VLOOKUP($F54,Internal!$B$26:$C$32,2,FALSE))</f>
        <v>62.5</v>
      </c>
      <c r="O54" s="45">
        <f>IF(ISBLANK(M54), "", M54*VLOOKUP($F54,Internal!$B$26:$C$32,2,FALSE))</f>
        <v>50</v>
      </c>
      <c r="P54" s="44" t="s">
        <v>94</v>
      </c>
    </row>
    <row r="55" spans="2:16" ht="15" thickBot="1" x14ac:dyDescent="0.35">
      <c r="B55" s="41">
        <v>45</v>
      </c>
      <c r="C55" s="42" t="str">
        <f>IF(ISBLANK(D55), "", _xlfn.CONCAT("T", TEXT(B55, "0000"), "/", VLOOKUP(D55, Internal!$B$35:C$39, 2, FALSE), IF(OR(D55="QA", D55="Revision"), _xlfn.CONCAT("/", H55), "")))</f>
        <v>T0045/O</v>
      </c>
      <c r="D55" s="44" t="s">
        <v>54</v>
      </c>
      <c r="E55" s="43" t="s">
        <v>55</v>
      </c>
      <c r="F55" s="43" t="s">
        <v>56</v>
      </c>
      <c r="G55" s="44" t="s">
        <v>57</v>
      </c>
      <c r="H55" s="43"/>
      <c r="I55" s="46">
        <v>46097.645833333336</v>
      </c>
      <c r="J55" s="46">
        <v>46097.722222222219</v>
      </c>
      <c r="K55" s="45" t="str">
        <f t="shared" ca="1" si="0"/>
        <v>Completed</v>
      </c>
      <c r="L55" s="47">
        <v>2</v>
      </c>
      <c r="M55" s="47">
        <v>2</v>
      </c>
      <c r="N55" s="45">
        <f>IF(ISBLANK(L55), "", L55*VLOOKUP($F55,Internal!$B$26:$C$32,2,FALSE))</f>
        <v>0</v>
      </c>
      <c r="O55" s="45">
        <f>IF(ISBLANK(M55), "", M55*VLOOKUP($F55,Internal!$B$26:$C$32,2,FALSE))</f>
        <v>0</v>
      </c>
      <c r="P55" s="44"/>
    </row>
    <row r="56" spans="2:16" ht="15" thickBot="1" x14ac:dyDescent="0.35">
      <c r="B56" s="41">
        <v>46</v>
      </c>
      <c r="C56" s="42" t="str">
        <f>IF(ISBLANK(D56), "", _xlfn.CONCAT("T", TEXT(B56, "0000"), "/", VLOOKUP(D56, Internal!$B$35:C$39, 2, FALSE), IF(OR(D56="QA", D56="Revision"), _xlfn.CONCAT("/", H56), "")))</f>
        <v>T0046/O</v>
      </c>
      <c r="D56" s="44" t="s">
        <v>54</v>
      </c>
      <c r="E56" s="43" t="s">
        <v>55</v>
      </c>
      <c r="F56" s="43" t="s">
        <v>56</v>
      </c>
      <c r="G56" s="44" t="s">
        <v>57</v>
      </c>
      <c r="H56" s="43"/>
      <c r="I56" s="46">
        <v>46100.736111111109</v>
      </c>
      <c r="J56" s="46">
        <v>46100.8125</v>
      </c>
      <c r="K56" s="45" t="str">
        <f t="shared" ca="1" si="0"/>
        <v>Completed</v>
      </c>
      <c r="L56" s="47">
        <v>2</v>
      </c>
      <c r="M56" s="47">
        <v>2</v>
      </c>
      <c r="N56" s="45">
        <f>IF(ISBLANK(L56), "", L56*VLOOKUP($F56,Internal!$B$26:$C$32,2,FALSE))</f>
        <v>0</v>
      </c>
      <c r="O56" s="45">
        <f>IF(ISBLANK(M56), "", M56*VLOOKUP($F56,Internal!$B$26:$C$32,2,FALSE))</f>
        <v>0</v>
      </c>
      <c r="P56" s="44"/>
    </row>
    <row r="57" spans="2:16" ht="15" thickBot="1" x14ac:dyDescent="0.35">
      <c r="B57" s="41">
        <v>47</v>
      </c>
      <c r="C57" s="42" t="str">
        <f>IF(ISBLANK(D57), "", _xlfn.CONCAT("T", TEXT(B57, "0000"), "/", VLOOKUP(D57, Internal!$B$35:C$39, 2, FALSE), IF(OR(D57="QA", D57="Revision"), _xlfn.CONCAT("/", H57), "")))</f>
        <v>T0047/D</v>
      </c>
      <c r="D57" s="44" t="s">
        <v>35</v>
      </c>
      <c r="E57" s="43" t="s">
        <v>46</v>
      </c>
      <c r="F57" s="43" t="s">
        <v>38</v>
      </c>
      <c r="G57" s="44" t="s">
        <v>47</v>
      </c>
      <c r="H57" s="43" t="s">
        <v>65</v>
      </c>
      <c r="I57" s="46">
        <v>46090.645833333336</v>
      </c>
      <c r="J57" s="46">
        <v>46097.854166666664</v>
      </c>
      <c r="K57" s="45" t="str">
        <f t="shared" ca="1" si="0"/>
        <v>Completed</v>
      </c>
      <c r="L57" s="47">
        <v>4</v>
      </c>
      <c r="M57" s="47">
        <v>3.75</v>
      </c>
      <c r="N57" s="45">
        <f>IF(ISBLANK(L57), "", L57*VLOOKUP($F57,Internal!$B$26:$C$32,2,FALSE))</f>
        <v>100</v>
      </c>
      <c r="O57" s="45">
        <f>IF(ISBLANK(M57), "", M57*VLOOKUP($F57,Internal!$B$26:$C$32,2,FALSE))</f>
        <v>93.75</v>
      </c>
      <c r="P57" s="44" t="s">
        <v>95</v>
      </c>
    </row>
    <row r="58" spans="2:16" ht="15" thickBot="1" x14ac:dyDescent="0.35">
      <c r="B58" s="41">
        <v>48</v>
      </c>
      <c r="C58" s="42" t="str">
        <f>IF(ISBLANK(D58), "", _xlfn.CONCAT("T", TEXT(B58, "0000"), "/", VLOOKUP(D58, Internal!$B$35:C$39, 2, FALSE), IF(OR(D58="QA", D58="Revision"), _xlfn.CONCAT("/", H58), "")))</f>
        <v>T0048/D</v>
      </c>
      <c r="D58" s="44" t="s">
        <v>35</v>
      </c>
      <c r="E58" s="43" t="s">
        <v>43</v>
      </c>
      <c r="F58" s="43" t="s">
        <v>38</v>
      </c>
      <c r="G58" s="44" t="s">
        <v>47</v>
      </c>
      <c r="H58" s="43" t="s">
        <v>67</v>
      </c>
      <c r="I58" s="46">
        <v>46090.645833333336</v>
      </c>
      <c r="J58" s="46">
        <v>46097.854166666664</v>
      </c>
      <c r="K58" s="45" t="str">
        <f t="shared" ca="1" si="0"/>
        <v>Completed</v>
      </c>
      <c r="L58" s="47">
        <v>4</v>
      </c>
      <c r="M58" s="47">
        <v>3.5</v>
      </c>
      <c r="N58" s="45">
        <f>IF(ISBLANK(L58), "", L58*VLOOKUP($F58,Internal!$B$26:$C$32,2,FALSE))</f>
        <v>100</v>
      </c>
      <c r="O58" s="45">
        <f>IF(ISBLANK(M58), "", M58*VLOOKUP($F58,Internal!$B$26:$C$32,2,FALSE))</f>
        <v>87.5</v>
      </c>
      <c r="P58" s="44" t="s">
        <v>96</v>
      </c>
    </row>
    <row r="59" spans="2:16" ht="15" thickBot="1" x14ac:dyDescent="0.35">
      <c r="B59" s="41">
        <v>49</v>
      </c>
      <c r="C59" s="42" t="str">
        <f>IF(ISBLANK(D59), "", _xlfn.CONCAT("T", TEXT(B59, "0000"), "/", VLOOKUP(D59, Internal!$B$35:C$39, 2, FALSE), IF(OR(D59="QA", D59="Revision"), _xlfn.CONCAT("/", H59), "")))</f>
        <v>T0049/D</v>
      </c>
      <c r="D59" s="44" t="s">
        <v>35</v>
      </c>
      <c r="E59" s="43" t="s">
        <v>61</v>
      </c>
      <c r="F59" s="43" t="s">
        <v>38</v>
      </c>
      <c r="G59" s="44" t="s">
        <v>47</v>
      </c>
      <c r="H59" s="43" t="s">
        <v>69</v>
      </c>
      <c r="I59" s="46">
        <v>46090.645833333336</v>
      </c>
      <c r="J59" s="46">
        <v>46097.854166666664</v>
      </c>
      <c r="K59" s="45" t="str">
        <f t="shared" ca="1" si="0"/>
        <v>Completed</v>
      </c>
      <c r="L59" s="47">
        <v>4</v>
      </c>
      <c r="M59" s="47">
        <v>4.25</v>
      </c>
      <c r="N59" s="45">
        <f>IF(ISBLANK(L59), "", L59*VLOOKUP($F59,Internal!$B$26:$C$32,2,FALSE))</f>
        <v>100</v>
      </c>
      <c r="O59" s="45">
        <f>IF(ISBLANK(M59), "", M59*VLOOKUP($F59,Internal!$B$26:$C$32,2,FALSE))</f>
        <v>106.25</v>
      </c>
      <c r="P59" s="44" t="s">
        <v>97</v>
      </c>
    </row>
    <row r="60" spans="2:16" ht="15" thickBot="1" x14ac:dyDescent="0.35">
      <c r="B60" s="41">
        <v>50</v>
      </c>
      <c r="C60" s="42" t="str">
        <f>IF(ISBLANK(D60), "", _xlfn.CONCAT("T", TEXT(B60, "0000"), "/", VLOOKUP(D60, Internal!$B$35:C$39, 2, FALSE), IF(OR(D60="QA", D60="Revision"), _xlfn.CONCAT("/", H60), "")))</f>
        <v>T0050/D</v>
      </c>
      <c r="D60" s="44" t="s">
        <v>35</v>
      </c>
      <c r="E60" s="43" t="s">
        <v>31</v>
      </c>
      <c r="F60" s="43" t="s">
        <v>38</v>
      </c>
      <c r="G60" s="44" t="s">
        <v>47</v>
      </c>
      <c r="H60" s="43" t="s">
        <v>71</v>
      </c>
      <c r="I60" s="46">
        <v>46090.645833333336</v>
      </c>
      <c r="J60" s="46">
        <v>46097.854166666664</v>
      </c>
      <c r="K60" s="45" t="str">
        <f t="shared" ca="1" si="0"/>
        <v>Completed</v>
      </c>
      <c r="L60" s="47">
        <v>4</v>
      </c>
      <c r="M60" s="47">
        <v>3</v>
      </c>
      <c r="N60" s="45">
        <f>IF(ISBLANK(L60), "", L60*VLOOKUP($F60,Internal!$B$26:$C$32,2,FALSE))</f>
        <v>100</v>
      </c>
      <c r="O60" s="45">
        <f>IF(ISBLANK(M60), "", M60*VLOOKUP($F60,Internal!$B$26:$C$32,2,FALSE))</f>
        <v>75</v>
      </c>
      <c r="P60" s="44" t="s">
        <v>98</v>
      </c>
    </row>
    <row r="61" spans="2:16" ht="15" thickBot="1" x14ac:dyDescent="0.35">
      <c r="B61" s="41">
        <v>51</v>
      </c>
      <c r="C61" s="42" t="str">
        <f>IF(ISBLANK(D61), "", _xlfn.CONCAT("T", TEXT(B61, "0000"), "/", VLOOKUP(D61, Internal!$B$35:C$39, 2, FALSE), IF(OR(D61="QA", D61="Revision"), _xlfn.CONCAT("/", H61), "")))</f>
        <v>T0051/D</v>
      </c>
      <c r="D61" s="44" t="s">
        <v>35</v>
      </c>
      <c r="E61" s="43" t="s">
        <v>50</v>
      </c>
      <c r="F61" s="43" t="s">
        <v>38</v>
      </c>
      <c r="G61" s="44" t="s">
        <v>47</v>
      </c>
      <c r="H61" s="43" t="s">
        <v>73</v>
      </c>
      <c r="I61" s="46">
        <v>46090.645833333336</v>
      </c>
      <c r="J61" s="46">
        <v>46097.854166666664</v>
      </c>
      <c r="K61" s="45" t="str">
        <f t="shared" ca="1" si="0"/>
        <v>Completed</v>
      </c>
      <c r="L61" s="47">
        <v>4</v>
      </c>
      <c r="M61" s="47">
        <v>3.25</v>
      </c>
      <c r="N61" s="45">
        <f>IF(ISBLANK(L61), "", L61*VLOOKUP($F61,Internal!$B$26:$C$32,2,FALSE))</f>
        <v>100</v>
      </c>
      <c r="O61" s="45">
        <f>IF(ISBLANK(M61), "", M61*VLOOKUP($F61,Internal!$B$26:$C$32,2,FALSE))</f>
        <v>81.25</v>
      </c>
      <c r="P61" s="44" t="s">
        <v>99</v>
      </c>
    </row>
    <row r="62" spans="2:16" ht="15" thickBot="1" x14ac:dyDescent="0.35">
      <c r="B62" s="41">
        <v>52</v>
      </c>
      <c r="C62" s="42" t="str">
        <f>IF(ISBLANK(D62), "", _xlfn.CONCAT("T", TEXT(B62, "0000"), "/", VLOOKUP(D62, Internal!$B$35:C$39, 2, FALSE), IF(OR(D62="QA", D62="Revision"), _xlfn.CONCAT("/", H62), "")))</f>
        <v>T0052/D</v>
      </c>
      <c r="D62" s="44" t="s">
        <v>35</v>
      </c>
      <c r="E62" s="43" t="s">
        <v>46</v>
      </c>
      <c r="F62" s="43" t="s">
        <v>38</v>
      </c>
      <c r="G62" s="44" t="s">
        <v>47</v>
      </c>
      <c r="H62" s="43" t="s">
        <v>65</v>
      </c>
      <c r="I62" s="46">
        <v>46090.645833333336</v>
      </c>
      <c r="J62" s="46">
        <v>46097.854166666664</v>
      </c>
      <c r="K62" s="45" t="str">
        <f t="shared" ca="1" si="0"/>
        <v>Completed</v>
      </c>
      <c r="L62" s="47">
        <v>2</v>
      </c>
      <c r="M62" s="47">
        <v>2</v>
      </c>
      <c r="N62" s="45">
        <f>IF(ISBLANK(L62), "", L62*VLOOKUP($F62,Internal!$B$26:$C$32,2,FALSE))</f>
        <v>50</v>
      </c>
      <c r="O62" s="45">
        <f>IF(ISBLANK(M62), "", M62*VLOOKUP($F62,Internal!$B$26:$C$32,2,FALSE))</f>
        <v>50</v>
      </c>
      <c r="P62" s="44" t="s">
        <v>100</v>
      </c>
    </row>
    <row r="63" spans="2:16" ht="15" thickBot="1" x14ac:dyDescent="0.35">
      <c r="B63" s="41">
        <v>53</v>
      </c>
      <c r="C63" s="42" t="str">
        <f>IF(ISBLANK(D63), "", _xlfn.CONCAT("T", TEXT(B63, "0000"), "/", VLOOKUP(D63, Internal!$B$35:C$39, 2, FALSE), IF(OR(D63="QA", D63="Revision"), _xlfn.CONCAT("/", H63), "")))</f>
        <v>T0053/D</v>
      </c>
      <c r="D63" s="44" t="s">
        <v>35</v>
      </c>
      <c r="E63" s="43" t="s">
        <v>43</v>
      </c>
      <c r="F63" s="43" t="s">
        <v>38</v>
      </c>
      <c r="G63" s="44" t="s">
        <v>47</v>
      </c>
      <c r="H63" s="43" t="s">
        <v>67</v>
      </c>
      <c r="I63" s="46">
        <v>46090.645833333336</v>
      </c>
      <c r="J63" s="46">
        <v>46097.854166666664</v>
      </c>
      <c r="K63" s="45" t="str">
        <f t="shared" ca="1" si="0"/>
        <v>Completed</v>
      </c>
      <c r="L63" s="47">
        <v>2</v>
      </c>
      <c r="M63" s="47">
        <v>2.5</v>
      </c>
      <c r="N63" s="45">
        <f>IF(ISBLANK(L63), "", L63*VLOOKUP($F63,Internal!$B$26:$C$32,2,FALSE))</f>
        <v>50</v>
      </c>
      <c r="O63" s="45">
        <f>IF(ISBLANK(M63), "", M63*VLOOKUP($F63,Internal!$B$26:$C$32,2,FALSE))</f>
        <v>62.5</v>
      </c>
      <c r="P63" s="44" t="s">
        <v>101</v>
      </c>
    </row>
    <row r="64" spans="2:16" ht="15" thickBot="1" x14ac:dyDescent="0.35">
      <c r="B64" s="41">
        <v>54</v>
      </c>
      <c r="C64" s="42" t="str">
        <f>IF(ISBLANK(D64), "", _xlfn.CONCAT("T", TEXT(B64, "0000"), "/", VLOOKUP(D64, Internal!$B$35:C$39, 2, FALSE), IF(OR(D64="QA", D64="Revision"), _xlfn.CONCAT("/", H64), "")))</f>
        <v>T0054/D</v>
      </c>
      <c r="D64" s="44" t="s">
        <v>35</v>
      </c>
      <c r="E64" s="43" t="s">
        <v>61</v>
      </c>
      <c r="F64" s="43" t="s">
        <v>38</v>
      </c>
      <c r="G64" s="44" t="s">
        <v>47</v>
      </c>
      <c r="H64" s="43" t="s">
        <v>69</v>
      </c>
      <c r="I64" s="46">
        <v>46090.645833333336</v>
      </c>
      <c r="J64" s="46">
        <v>46097.854166666664</v>
      </c>
      <c r="K64" s="45" t="str">
        <f t="shared" ca="1" si="0"/>
        <v>Completed</v>
      </c>
      <c r="L64" s="47">
        <v>2</v>
      </c>
      <c r="M64" s="47">
        <v>1.75</v>
      </c>
      <c r="N64" s="45">
        <f>IF(ISBLANK(L64), "", L64*VLOOKUP($F64,Internal!$B$26:$C$32,2,FALSE))</f>
        <v>50</v>
      </c>
      <c r="O64" s="45">
        <f>IF(ISBLANK(M64), "", M64*VLOOKUP($F64,Internal!$B$26:$C$32,2,FALSE))</f>
        <v>43.75</v>
      </c>
      <c r="P64" s="44" t="s">
        <v>102</v>
      </c>
    </row>
    <row r="65" spans="2:16" ht="15" thickBot="1" x14ac:dyDescent="0.35">
      <c r="B65" s="41">
        <v>55</v>
      </c>
      <c r="C65" s="42" t="str">
        <f>IF(ISBLANK(D65), "", _xlfn.CONCAT("T", TEXT(B65, "0000"), "/", VLOOKUP(D65, Internal!$B$35:C$39, 2, FALSE), IF(OR(D65="QA", D65="Revision"), _xlfn.CONCAT("/", H65), "")))</f>
        <v>T0055/D</v>
      </c>
      <c r="D65" s="44" t="s">
        <v>35</v>
      </c>
      <c r="E65" s="43" t="s">
        <v>31</v>
      </c>
      <c r="F65" s="43" t="s">
        <v>38</v>
      </c>
      <c r="G65" s="44" t="s">
        <v>47</v>
      </c>
      <c r="H65" s="43" t="s">
        <v>71</v>
      </c>
      <c r="I65" s="46">
        <v>46090.645833333336</v>
      </c>
      <c r="J65" s="46">
        <v>46097.854166666664</v>
      </c>
      <c r="K65" s="45" t="str">
        <f t="shared" ca="1" si="0"/>
        <v>Completed</v>
      </c>
      <c r="L65" s="47">
        <v>2</v>
      </c>
      <c r="M65" s="47">
        <v>1.75</v>
      </c>
      <c r="N65" s="45">
        <f>IF(ISBLANK(L65), "", L65*VLOOKUP($F65,Internal!$B$26:$C$32,2,FALSE))</f>
        <v>50</v>
      </c>
      <c r="O65" s="45">
        <f>IF(ISBLANK(M65), "", M65*VLOOKUP($F65,Internal!$B$26:$C$32,2,FALSE))</f>
        <v>43.75</v>
      </c>
      <c r="P65" s="44" t="s">
        <v>103</v>
      </c>
    </row>
    <row r="66" spans="2:16" ht="15" thickBot="1" x14ac:dyDescent="0.35">
      <c r="B66" s="41">
        <v>56</v>
      </c>
      <c r="C66" s="42" t="str">
        <f>IF(ISBLANK(D66), "", _xlfn.CONCAT("T", TEXT(B66, "0000"), "/", VLOOKUP(D66, Internal!$B$35:C$39, 2, FALSE), IF(OR(D66="QA", D66="Revision"), _xlfn.CONCAT("/", H66), "")))</f>
        <v>T0056/D</v>
      </c>
      <c r="D66" s="44" t="s">
        <v>35</v>
      </c>
      <c r="E66" s="43" t="s">
        <v>50</v>
      </c>
      <c r="F66" s="43" t="s">
        <v>38</v>
      </c>
      <c r="G66" s="44" t="s">
        <v>47</v>
      </c>
      <c r="H66" s="43" t="s">
        <v>73</v>
      </c>
      <c r="I66" s="46">
        <v>46090.645833333336</v>
      </c>
      <c r="J66" s="46">
        <v>46097.854166666664</v>
      </c>
      <c r="K66" s="45" t="str">
        <f t="shared" ca="1" si="0"/>
        <v>Completed</v>
      </c>
      <c r="L66" s="47">
        <v>2</v>
      </c>
      <c r="M66" s="47">
        <v>1.5</v>
      </c>
      <c r="N66" s="45">
        <f>IF(ISBLANK(L66), "", L66*VLOOKUP($F66,Internal!$B$26:$C$32,2,FALSE))</f>
        <v>50</v>
      </c>
      <c r="O66" s="45">
        <f>IF(ISBLANK(M66), "", M66*VLOOKUP($F66,Internal!$B$26:$C$32,2,FALSE))</f>
        <v>37.5</v>
      </c>
      <c r="P66" s="44" t="s">
        <v>104</v>
      </c>
    </row>
    <row r="67" spans="2:16" ht="15" thickBot="1" x14ac:dyDescent="0.35">
      <c r="B67" s="41">
        <v>57</v>
      </c>
      <c r="C67" s="42" t="str">
        <f>IF(ISBLANK(D67), "", _xlfn.CONCAT("T", TEXT(B67, "0000"), "/", VLOOKUP(D67, Internal!$B$35:C$39, 2, FALSE), IF(OR(D67="QA", D67="Revision"), _xlfn.CONCAT("/", H67), "")))</f>
        <v>T0057/O</v>
      </c>
      <c r="D67" s="44" t="s">
        <v>54</v>
      </c>
      <c r="E67" s="43" t="s">
        <v>46</v>
      </c>
      <c r="F67" s="43" t="s">
        <v>105</v>
      </c>
      <c r="G67" s="44" t="s">
        <v>106</v>
      </c>
      <c r="H67" s="43"/>
      <c r="I67" s="46">
        <v>46101.736111111109</v>
      </c>
      <c r="J67" s="46">
        <v>46101.916666666664</v>
      </c>
      <c r="K67" s="45" t="str">
        <f t="shared" ca="1" si="0"/>
        <v>Completed</v>
      </c>
      <c r="L67" s="47">
        <v>3</v>
      </c>
      <c r="M67" s="47">
        <v>2.5</v>
      </c>
      <c r="N67" s="45">
        <f>IF(ISBLANK(L67), "", L67*VLOOKUP($F67,Internal!$B$26:$C$32,2,FALSE))</f>
        <v>90</v>
      </c>
      <c r="O67" s="45">
        <f>IF(ISBLANK(M67), "", M67*VLOOKUP($F67,Internal!$B$26:$C$32,2,FALSE))</f>
        <v>75</v>
      </c>
      <c r="P67" s="44"/>
    </row>
    <row r="68" spans="2:16" ht="15" thickBot="1" x14ac:dyDescent="0.35">
      <c r="B68" s="41">
        <v>58</v>
      </c>
      <c r="C68" s="42" t="str">
        <f>IF(ISBLANK(D68), "", _xlfn.CONCAT("T", TEXT(B68, "0000"), "/", VLOOKUP(D68, Internal!$B$35:C$39, 2, FALSE), IF(OR(D68="QA", D68="Revision"), _xlfn.CONCAT("/", H68), "")))</f>
        <v>T0058/O</v>
      </c>
      <c r="D68" s="44" t="s">
        <v>54</v>
      </c>
      <c r="E68" s="43" t="s">
        <v>46</v>
      </c>
      <c r="F68" s="43" t="s">
        <v>105</v>
      </c>
      <c r="G68" s="44" t="s">
        <v>107</v>
      </c>
      <c r="H68" s="43"/>
      <c r="I68" s="46">
        <v>46101.916666666664</v>
      </c>
      <c r="J68" s="46">
        <v>46101.979166666664</v>
      </c>
      <c r="K68" s="45" t="str">
        <f t="shared" ca="1" si="0"/>
        <v>Completed</v>
      </c>
      <c r="L68" s="47">
        <v>0.5</v>
      </c>
      <c r="M68" s="47">
        <v>0.25</v>
      </c>
      <c r="N68" s="45">
        <f>IF(ISBLANK(L68), "", L68*VLOOKUP($F68,Internal!$B$26:$C$32,2,FALSE))</f>
        <v>15</v>
      </c>
      <c r="O68" s="45">
        <f>IF(ISBLANK(M68), "", M68*VLOOKUP($F68,Internal!$B$26:$C$32,2,FALSE))</f>
        <v>7.5</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6:C7"/>
    <mergeCell ref="I9:J9"/>
    <mergeCell ref="L9:M9"/>
    <mergeCell ref="N9:O9"/>
    <mergeCell ref="C2:P2"/>
    <mergeCell ref="C4:P4"/>
  </mergeCells>
  <phoneticPr fontId="4" type="noConversion"/>
  <conditionalFormatting sqref="H11:H110">
    <cfRule type="expression" dxfId="5" priority="2">
      <formula>AND(H11&lt;&gt;"",COUNTIF($C$11:$C$110,H11)=0)</formula>
    </cfRule>
  </conditionalFormatting>
  <conditionalFormatting sqref="J11:J15 J20 J69:J110">
    <cfRule type="expression" dxfId="4"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AADDA758-A288-4920-A868-A656B94EE475}">
      <formula1>0</formula1>
      <formula2>1024</formula2>
    </dataValidation>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M110" xr:uid="{FFAE3670-28C0-4D44-81DE-0074EF40B001}"/>
    <dataValidation allowBlank="1" showInputMessage="1" showErrorMessage="1" promptTitle="Description" prompt="If actually necessary, then write a succint description and/or include a link to a document that provides further information." sqref="K11:K110 P11:P110" xr:uid="{4DDB20BC-C9D1-4AB5-9B81-3F9F25727EAD}"/>
    <dataValidation allowBlank="1" showInputMessage="1" showErrorMessage="1" promptTitle="Costs" prompt="The costs are updated automatically.  Don't modify them manually" sqref="N11:O110" xr:uid="{3D1A9EDC-88F9-4796-ACC0-9C5DD1125EFE}"/>
    <dataValidation allowBlank="1" showInputMessage="1" showErrorMessage="1" promptTitle="ID" prompt="The IDs are updated automatically.  Don't modify them manually" sqref="C11:C110" xr:uid="{6C5AA884-EA5C-464F-AE09-58D1C86343FC}"/>
    <dataValidation allowBlank="1" showInputMessage="1" showErrorMessage="1" promptTitle="ORDER" prompt="Order numbers are internal data.  Do not change them._x000a_" sqref="B11:B110" xr:uid="{79B4C829-58F8-4180-8480-F4A0E1F5F1C5}"/>
    <dataValidation type="list" allowBlank="1" showInputMessage="1" showErrorMessage="1" promptTitle="Activity" prompt="Select the Activity to perfom.  Use &quot;Other&quot; only in truly exceptional cases." sqref="G11:G110"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10" xr:uid="{D360DC77-273A-412B-AEBB-6D07121D9EA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F11:F110</xm:sqref>
        </x14:dataValidation>
        <x14:dataValidation type="list" allowBlank="1" showInputMessage="1" showErrorMessage="1" promptTitle="Type" prompt="Indicate the type of task." xr:uid="{FB2BBB7B-03FF-45CB-8A89-AFA40F81FC94}">
          <x14:formula1>
            <xm:f>Internal!$B$35:$B$39</xm:f>
          </x14:formula1>
          <xm:sqref>D11:D110</xm:sqref>
        </x14:dataValidation>
        <x14:dataValidation type="list" allowBlank="1" showInputMessage="1" showErrorMessage="1" promptTitle="Assignee" prompt="Select the workmate the task is assigned to." xr:uid="{9667150F-C763-44E5-A661-FFC8169264CA}">
          <x14:formula1>
            <xm:f>Internal!$B$9:$B$14</xm:f>
          </x14:formula1>
          <xm:sqref>E11:E110</xm:sqref>
        </x14:dataValidation>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J16:J19 J21:J68 I11:I110</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J20 J11:J15 J69:J110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tabSelected="1" zoomScaleNormal="100" workbookViewId="0">
      <pane ySplit="10" topLeftCell="A33" activePane="bottomLeft" state="frozen"/>
      <selection pane="bottomLeft" activeCell="M44" sqref="M44"/>
    </sheetView>
  </sheetViews>
  <sheetFormatPr defaultColWidth="8.6640625" defaultRowHeight="14.4" x14ac:dyDescent="0.3"/>
  <cols>
    <col min="3" max="15" width="18.88671875" customWidth="1"/>
    <col min="16" max="16" width="64.5546875" customWidth="1"/>
  </cols>
  <sheetData>
    <row r="2" spans="2:16" x14ac:dyDescent="0.3">
      <c r="C2" s="55" t="s">
        <v>108</v>
      </c>
      <c r="D2" s="55"/>
      <c r="E2" s="55"/>
      <c r="F2" s="55"/>
      <c r="G2" s="55"/>
      <c r="H2" s="55"/>
      <c r="I2" s="55"/>
      <c r="J2" s="55"/>
      <c r="K2" s="55"/>
      <c r="L2" s="55"/>
      <c r="M2" s="55"/>
      <c r="N2" s="55"/>
      <c r="O2" s="55"/>
      <c r="P2" s="55"/>
    </row>
    <row r="4" spans="2:16" ht="15" customHeight="1" x14ac:dyDescent="0.3">
      <c r="C4" s="56" t="s">
        <v>10</v>
      </c>
      <c r="D4" s="56"/>
      <c r="E4" s="56"/>
      <c r="F4" s="56"/>
      <c r="G4" s="56"/>
      <c r="H4" s="56"/>
      <c r="I4" s="56"/>
      <c r="J4" s="56"/>
      <c r="K4" s="56"/>
      <c r="L4" s="56"/>
      <c r="M4" s="56"/>
      <c r="N4" s="56"/>
      <c r="O4" s="56"/>
      <c r="P4" s="56"/>
    </row>
    <row r="5" spans="2:16" x14ac:dyDescent="0.3">
      <c r="C5" s="5"/>
      <c r="D5" s="5"/>
      <c r="E5" s="5"/>
      <c r="F5" s="5"/>
      <c r="G5" s="5"/>
      <c r="H5" s="5"/>
      <c r="I5" s="5"/>
      <c r="J5" s="5"/>
      <c r="K5" s="5"/>
      <c r="L5" s="5"/>
      <c r="M5" s="5"/>
      <c r="N5" s="5"/>
      <c r="O5" s="5"/>
      <c r="P5" s="5"/>
    </row>
    <row r="6" spans="2:16" x14ac:dyDescent="0.3">
      <c r="C6" s="53" t="s">
        <v>11</v>
      </c>
      <c r="D6" s="10" t="s">
        <v>12</v>
      </c>
      <c r="E6" s="35">
        <f>SUM(N11:N110)</f>
        <v>1593.75</v>
      </c>
      <c r="F6" s="5"/>
      <c r="G6" s="5"/>
      <c r="H6" s="5"/>
      <c r="I6" s="5"/>
      <c r="J6" s="5"/>
      <c r="K6" s="5"/>
      <c r="L6" s="5"/>
      <c r="M6" s="5"/>
      <c r="N6" s="5"/>
      <c r="O6" s="5"/>
      <c r="P6" s="5"/>
    </row>
    <row r="7" spans="2:16" x14ac:dyDescent="0.3">
      <c r="C7" s="53"/>
      <c r="D7" s="11" t="s">
        <v>13</v>
      </c>
      <c r="E7" s="36">
        <f>SUM(O11:O110)</f>
        <v>1847.499996</v>
      </c>
      <c r="J7" s="37"/>
    </row>
    <row r="9" spans="2:16" x14ac:dyDescent="0.3">
      <c r="B9" s="6"/>
      <c r="C9" s="7"/>
      <c r="D9" s="7"/>
      <c r="E9" s="7"/>
      <c r="F9" s="7"/>
      <c r="G9" s="7"/>
      <c r="H9" s="7"/>
      <c r="I9" s="54" t="s">
        <v>14</v>
      </c>
      <c r="J9" s="54"/>
      <c r="K9" s="7"/>
      <c r="L9" s="54" t="s">
        <v>15</v>
      </c>
      <c r="M9" s="54"/>
      <c r="N9" s="54" t="s">
        <v>16</v>
      </c>
      <c r="O9" s="54"/>
      <c r="P9" s="7"/>
    </row>
    <row r="10" spans="2:16" ht="15" thickBot="1" x14ac:dyDescent="0.3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x14ac:dyDescent="0.35">
      <c r="B11" s="41">
        <v>1</v>
      </c>
      <c r="C11" s="42" t="str">
        <f>IF(ISBLANK(D11), "", _xlfn.CONCAT("T", TEXT(B11, "0000"), "/", VLOOKUP(D11, Internal!$B$35:C$39, 2, FALSE), IF(OR(D11="QA", D11="Revision"), _xlfn.CONCAT("/", H11), "")))</f>
        <v>T0001/M</v>
      </c>
      <c r="D11" s="44" t="s">
        <v>30</v>
      </c>
      <c r="E11" s="43" t="s">
        <v>50</v>
      </c>
      <c r="F11" s="43" t="s">
        <v>32</v>
      </c>
      <c r="G11" s="44" t="s">
        <v>36</v>
      </c>
      <c r="H11" s="43"/>
      <c r="I11" s="46">
        <v>46125.6875</v>
      </c>
      <c r="J11" s="46">
        <v>46125.729166666664</v>
      </c>
      <c r="K11" s="45" t="str">
        <f ca="1">IF(OR(I11="",J11=""),"",IF(AND(J11&lt;&gt;"",I11&gt;=NOW()),"Planned",IF(AND(J11&lt;&gt;"",J11&lt;NOW()),"Completed","Ongoing")))</f>
        <v>Completed</v>
      </c>
      <c r="L11" s="47">
        <v>1</v>
      </c>
      <c r="M11" s="47">
        <v>1</v>
      </c>
      <c r="N11" s="45">
        <f>IF(ISBLANK(L11), "", L11*VLOOKUP($F11,Internal!$B$26:$C$32,2,FALSE))</f>
        <v>50</v>
      </c>
      <c r="O11" s="45">
        <f>IF(ISBLANK(M11), "", M11*VLOOKUP($F11,Internal!$B$26:$C$32,2,FALSE))</f>
        <v>50</v>
      </c>
      <c r="P11" s="44" t="s">
        <v>144</v>
      </c>
    </row>
    <row r="12" spans="2:16" ht="15" thickBot="1" x14ac:dyDescent="0.35">
      <c r="B12" s="41">
        <v>2</v>
      </c>
      <c r="C12" s="42" t="str">
        <f>IF(ISBLANK(D12), "", _xlfn.CONCAT("T", TEXT(B12, "0000"), "/", VLOOKUP(D12, Internal!$B$35:C$39, 2, FALSE), IF(OR(D12="QA", D12="Revision"), _xlfn.CONCAT("/", H12), "")))</f>
        <v>T0002/M</v>
      </c>
      <c r="D12" s="44" t="s">
        <v>30</v>
      </c>
      <c r="E12" s="43" t="s">
        <v>31</v>
      </c>
      <c r="F12" s="43" t="s">
        <v>32</v>
      </c>
      <c r="G12" s="44" t="s">
        <v>36</v>
      </c>
      <c r="H12" s="43" t="s">
        <v>145</v>
      </c>
      <c r="I12" s="46">
        <v>46125.8125</v>
      </c>
      <c r="J12" s="46">
        <v>46125.854166666664</v>
      </c>
      <c r="K12" s="45" t="str">
        <f t="shared" ref="K12:K75" ca="1" si="0">IF(OR(I12="",J12=""),"",IF(AND(J12&lt;&gt;"",I12&gt;=NOW()),"Planned",IF(AND(J12&lt;&gt;"",J12&lt;NOW()),"Completed","Ongoing")))</f>
        <v>Completed</v>
      </c>
      <c r="L12" s="47">
        <v>1</v>
      </c>
      <c r="M12" s="47">
        <v>1</v>
      </c>
      <c r="N12" s="45">
        <f>IF(ISBLANK(L12), "", L12*VLOOKUP($F12,Internal!$B$26:$C$32,2,FALSE))</f>
        <v>50</v>
      </c>
      <c r="O12" s="45">
        <f>IF(ISBLANK(M12), "", M12*VLOOKUP($F12,Internal!$B$26:$C$32,2,FALSE))</f>
        <v>50</v>
      </c>
      <c r="P12" s="44" t="s">
        <v>146</v>
      </c>
    </row>
    <row r="13" spans="2:16" ht="15" thickBot="1" x14ac:dyDescent="0.35">
      <c r="B13" s="41">
        <v>3</v>
      </c>
      <c r="C13" s="42" t="str">
        <f>IF(ISBLANK(D13), "", _xlfn.CONCAT("T", TEXT(B13, "0000"), "/", VLOOKUP(D13, Internal!$B$35:C$39, 2, FALSE), IF(OR(D13="QA", D13="Revision"), _xlfn.CONCAT("/", H13), "")))</f>
        <v>T0003/M</v>
      </c>
      <c r="D13" s="44" t="s">
        <v>30</v>
      </c>
      <c r="E13" s="43" t="s">
        <v>50</v>
      </c>
      <c r="F13" s="43" t="s">
        <v>126</v>
      </c>
      <c r="G13" s="44" t="s">
        <v>127</v>
      </c>
      <c r="H13" s="43"/>
      <c r="I13" s="46">
        <v>46132.763888888891</v>
      </c>
      <c r="J13" s="46">
        <v>46132.819444444445</v>
      </c>
      <c r="K13" s="45" t="str">
        <f t="shared" ca="1" si="0"/>
        <v>Completed</v>
      </c>
      <c r="L13" s="47">
        <v>1</v>
      </c>
      <c r="M13" s="47">
        <v>1.3333333000000001</v>
      </c>
      <c r="N13" s="45">
        <f>IF(ISBLANK(L13), "", L13*VLOOKUP($F13,Internal!$B$26:$C$32,2,FALSE))</f>
        <v>40</v>
      </c>
      <c r="O13" s="45">
        <f>IF(ISBLANK(M13), "", M13*VLOOKUP($F13,Internal!$B$26:$C$32,2,FALSE))</f>
        <v>53.333331999999999</v>
      </c>
      <c r="P13" s="44"/>
    </row>
    <row r="14" spans="2:16" ht="15" thickBot="1" x14ac:dyDescent="0.35">
      <c r="B14" s="41">
        <v>4</v>
      </c>
      <c r="C14" s="42" t="str">
        <f>IF(ISBLANK(D14), "", _xlfn.CONCAT("T", TEXT(B14, "0000"), "/", VLOOKUP(D14, Internal!$B$35:C$39, 2, FALSE), IF(OR(D14="QA", D14="Revision"), _xlfn.CONCAT("/", H14), "")))</f>
        <v>T0004/M</v>
      </c>
      <c r="D14" s="44" t="s">
        <v>30</v>
      </c>
      <c r="E14" s="43" t="s">
        <v>50</v>
      </c>
      <c r="F14" s="43" t="s">
        <v>126</v>
      </c>
      <c r="G14" s="44" t="s">
        <v>40</v>
      </c>
      <c r="H14" s="43"/>
      <c r="I14" s="46">
        <v>46132.819444444445</v>
      </c>
      <c r="J14" s="46">
        <v>46132.847222222219</v>
      </c>
      <c r="K14" s="45" t="str">
        <f t="shared" ca="1" si="0"/>
        <v>Completed</v>
      </c>
      <c r="L14" s="47">
        <v>1</v>
      </c>
      <c r="M14" s="47">
        <v>0.6666666</v>
      </c>
      <c r="N14" s="45">
        <f>IF(ISBLANK(L14), "", L14*VLOOKUP($F14,Internal!$B$26:$C$32,2,FALSE))</f>
        <v>40</v>
      </c>
      <c r="O14" s="45">
        <f>IF(ISBLANK(M14), "", M14*VLOOKUP($F14,Internal!$B$26:$C$32,2,FALSE))</f>
        <v>26.666664000000001</v>
      </c>
      <c r="P14" s="44"/>
    </row>
    <row r="15" spans="2:16" ht="15" thickBot="1" x14ac:dyDescent="0.35">
      <c r="B15" s="41">
        <v>5</v>
      </c>
      <c r="C15" s="42" t="str">
        <f>IF(ISBLANK(D15), "", _xlfn.CONCAT("T", TEXT(B15, "0000"), "/", VLOOKUP(D15, Internal!$B$35:C$39, 2, FALSE), IF(OR(D15="QA", D15="Revision"), _xlfn.CONCAT("/", H15), "")))</f>
        <v>T0005/M</v>
      </c>
      <c r="D15" s="44" t="s">
        <v>30</v>
      </c>
      <c r="E15" s="43" t="s">
        <v>46</v>
      </c>
      <c r="F15" s="43" t="s">
        <v>126</v>
      </c>
      <c r="G15" s="44" t="s">
        <v>129</v>
      </c>
      <c r="H15" s="43" t="s">
        <v>147</v>
      </c>
      <c r="I15" s="46">
        <v>46132.833333333336</v>
      </c>
      <c r="J15" s="46">
        <v>46132.916666666664</v>
      </c>
      <c r="K15" s="45" t="str">
        <f t="shared" ca="1" si="0"/>
        <v>Completed</v>
      </c>
      <c r="L15" s="47">
        <v>1.5</v>
      </c>
      <c r="M15" s="47">
        <v>2</v>
      </c>
      <c r="N15" s="45">
        <f>IF(ISBLANK(L15), "", L15*VLOOKUP($F15,Internal!$B$26:$C$32,2,FALSE))</f>
        <v>60</v>
      </c>
      <c r="O15" s="45">
        <f>IF(ISBLANK(M15), "", M15*VLOOKUP($F15,Internal!$B$26:$C$32,2,FALSE))</f>
        <v>80</v>
      </c>
      <c r="P15" s="44"/>
    </row>
    <row r="16" spans="2:16" ht="15" thickBot="1" x14ac:dyDescent="0.35">
      <c r="B16" s="41">
        <v>6</v>
      </c>
      <c r="C16" s="42" t="str">
        <f>IF(ISBLANK(D16), "", _xlfn.CONCAT("T", TEXT(B16, "0000"), "/", VLOOKUP(D16, Internal!$B$35:C$39, 2, FALSE), IF(OR(D16="QA", D16="Revision"), _xlfn.CONCAT("/", H16), "")))</f>
        <v>T0006/D</v>
      </c>
      <c r="D16" s="44" t="s">
        <v>35</v>
      </c>
      <c r="E16" s="43" t="s">
        <v>50</v>
      </c>
      <c r="F16" s="43" t="s">
        <v>38</v>
      </c>
      <c r="G16" s="44" t="s">
        <v>47</v>
      </c>
      <c r="H16" s="43"/>
      <c r="I16" s="46">
        <v>46136.5</v>
      </c>
      <c r="J16" s="46">
        <v>46136.541666666664</v>
      </c>
      <c r="K16" s="45" t="str">
        <f t="shared" ca="1" si="0"/>
        <v>Completed</v>
      </c>
      <c r="L16" s="47">
        <v>2</v>
      </c>
      <c r="M16" s="47">
        <v>1</v>
      </c>
      <c r="N16" s="45">
        <f>IF(ISBLANK(L16), "", L16*VLOOKUP($F16,Internal!$B$26:$C$32,2,FALSE))</f>
        <v>50</v>
      </c>
      <c r="O16" s="45">
        <f>IF(ISBLANK(M16), "", M16*VLOOKUP($F16,Internal!$B$26:$C$32,2,FALSE))</f>
        <v>25</v>
      </c>
      <c r="P16" s="44" t="s">
        <v>149</v>
      </c>
    </row>
    <row r="17" spans="2:16" ht="15" thickBot="1" x14ac:dyDescent="0.35">
      <c r="B17" s="41">
        <v>7</v>
      </c>
      <c r="C17" s="42" t="str">
        <f>IF(ISBLANK(D17), "", _xlfn.CONCAT("T", TEXT(B17, "0000"), "/", VLOOKUP(D17, Internal!$B$35:C$39, 2, FALSE), IF(OR(D17="QA", D17="Revision"), _xlfn.CONCAT("/", H17), "")))</f>
        <v>T0007/M</v>
      </c>
      <c r="D17" s="44" t="s">
        <v>30</v>
      </c>
      <c r="E17" s="43" t="s">
        <v>50</v>
      </c>
      <c r="F17" s="43" t="s">
        <v>32</v>
      </c>
      <c r="G17" s="44" t="s">
        <v>40</v>
      </c>
      <c r="H17" s="43"/>
      <c r="I17" s="46">
        <v>46136.5625</v>
      </c>
      <c r="J17" s="46">
        <v>46136.59375</v>
      </c>
      <c r="K17" s="45" t="str">
        <f t="shared" ca="1" si="0"/>
        <v>Completed</v>
      </c>
      <c r="L17" s="47">
        <v>1</v>
      </c>
      <c r="M17" s="47">
        <v>0.75</v>
      </c>
      <c r="N17" s="45">
        <f>IF(ISBLANK(L17), "", L17*VLOOKUP($F17,Internal!$B$26:$C$32,2,FALSE))</f>
        <v>50</v>
      </c>
      <c r="O17" s="45">
        <f>IF(ISBLANK(M17), "", M17*VLOOKUP($F17,Internal!$B$26:$C$32,2,FALSE))</f>
        <v>37.5</v>
      </c>
      <c r="P17" s="44"/>
    </row>
    <row r="18" spans="2:16" ht="15" thickBot="1" x14ac:dyDescent="0.35">
      <c r="B18" s="41">
        <v>8</v>
      </c>
      <c r="C18" s="42" t="str">
        <f>IF(ISBLANK(D18), "", _xlfn.CONCAT("T", TEXT(B18, "0000"), "/", VLOOKUP(D18, Internal!$B$35:C$39, 2, FALSE), IF(OR(D18="QA", D18="Revision"), _xlfn.CONCAT("/", H18), "")))</f>
        <v>T0008/D</v>
      </c>
      <c r="D18" s="44" t="s">
        <v>35</v>
      </c>
      <c r="E18" s="43" t="s">
        <v>46</v>
      </c>
      <c r="F18" s="43" t="s">
        <v>38</v>
      </c>
      <c r="G18" s="44" t="s">
        <v>47</v>
      </c>
      <c r="H18" s="43"/>
      <c r="I18" s="46">
        <v>46136.416666666664</v>
      </c>
      <c r="J18" s="46">
        <v>46136.496527777781</v>
      </c>
      <c r="K18" s="45" t="str">
        <f t="shared" ca="1" si="0"/>
        <v>Completed</v>
      </c>
      <c r="L18" s="47">
        <v>1</v>
      </c>
      <c r="M18" s="47">
        <v>1</v>
      </c>
      <c r="N18" s="45">
        <f>IF(ISBLANK(L18), "", L18*VLOOKUP($F18,Internal!$B$26:$C$32,2,FALSE))</f>
        <v>25</v>
      </c>
      <c r="O18" s="45">
        <f>IF(ISBLANK(M18), "", M18*VLOOKUP($F18,Internal!$B$26:$C$32,2,FALSE))</f>
        <v>25</v>
      </c>
      <c r="P18" s="44" t="s">
        <v>148</v>
      </c>
    </row>
    <row r="19" spans="2:16" ht="15" thickBot="1" x14ac:dyDescent="0.35">
      <c r="B19" s="41">
        <v>9</v>
      </c>
      <c r="C19" s="42" t="str">
        <f>IF(ISBLANK(D19), "", _xlfn.CONCAT("T", TEXT(B19, "0000"), "/", VLOOKUP(D19, Internal!$B$35:C$39, 2, FALSE), IF(OR(D19="QA", D19="Revision"), _xlfn.CONCAT("/", H19), "")))</f>
        <v>T0009/D</v>
      </c>
      <c r="D19" s="44" t="s">
        <v>35</v>
      </c>
      <c r="E19" s="43" t="s">
        <v>50</v>
      </c>
      <c r="F19" s="43" t="s">
        <v>38</v>
      </c>
      <c r="G19" s="44" t="s">
        <v>47</v>
      </c>
      <c r="H19" s="43"/>
      <c r="I19" s="46">
        <v>46137.375</v>
      </c>
      <c r="J19" s="46">
        <v>46137.75</v>
      </c>
      <c r="K19" s="45" t="str">
        <f t="shared" ca="1" si="0"/>
        <v>Completed</v>
      </c>
      <c r="L19" s="47">
        <v>1.5</v>
      </c>
      <c r="M19" s="47">
        <v>1</v>
      </c>
      <c r="N19" s="45">
        <f>IF(ISBLANK(L19), "", L19*VLOOKUP($F19,Internal!$B$26:$C$32,2,FALSE))</f>
        <v>37.5</v>
      </c>
      <c r="O19" s="45">
        <f>IF(ISBLANK(M19), "", M19*VLOOKUP($F19,Internal!$B$26:$C$32,2,FALSE))</f>
        <v>25</v>
      </c>
      <c r="P19" s="44" t="s">
        <v>150</v>
      </c>
    </row>
    <row r="20" spans="2:16" ht="15" thickBot="1" x14ac:dyDescent="0.35">
      <c r="B20" s="41">
        <v>10</v>
      </c>
      <c r="C20" s="42" t="str">
        <f>IF(ISBLANK(D20), "", _xlfn.CONCAT("T", TEXT(B20, "0000"), "/", VLOOKUP(D20, Internal!$B$35:C$39, 2, FALSE), IF(OR(D20="QA", D20="Revision"), _xlfn.CONCAT("/", H20), "")))</f>
        <v>T0010/R/T0009/D</v>
      </c>
      <c r="D20" s="44" t="s">
        <v>141</v>
      </c>
      <c r="E20" s="43" t="s">
        <v>61</v>
      </c>
      <c r="F20" s="43" t="s">
        <v>38</v>
      </c>
      <c r="G20" s="44" t="s">
        <v>130</v>
      </c>
      <c r="H20" s="43" t="s">
        <v>155</v>
      </c>
      <c r="I20" s="46">
        <v>46138.5</v>
      </c>
      <c r="J20" s="46">
        <v>46138.510416666664</v>
      </c>
      <c r="K20" s="45" t="str">
        <f t="shared" ca="1" si="0"/>
        <v>Completed</v>
      </c>
      <c r="L20" s="47">
        <v>0.5</v>
      </c>
      <c r="M20" s="47">
        <v>0.25</v>
      </c>
      <c r="N20" s="45">
        <f>IF(ISBLANK(L20), "", L20*VLOOKUP($F20,Internal!$B$26:$C$32,2,FALSE))</f>
        <v>12.5</v>
      </c>
      <c r="O20" s="45">
        <f>IF(ISBLANK(M20), "", M20*VLOOKUP($F20,Internal!$B$26:$C$32,2,FALSE))</f>
        <v>6.25</v>
      </c>
      <c r="P20" s="44" t="s">
        <v>151</v>
      </c>
    </row>
    <row r="21" spans="2:16" ht="15" thickBot="1" x14ac:dyDescent="0.35">
      <c r="B21" s="41">
        <v>11</v>
      </c>
      <c r="C21" s="42" t="str">
        <f>IF(ISBLANK(D21), "", _xlfn.CONCAT("T", TEXT(B21, "0000"), "/", VLOOKUP(D21, Internal!$B$35:C$39, 2, FALSE), IF(OR(D21="QA", D21="Revision"), _xlfn.CONCAT("/", H21), "")))</f>
        <v>T0011/D</v>
      </c>
      <c r="D21" s="44" t="s">
        <v>35</v>
      </c>
      <c r="E21" s="43" t="s">
        <v>61</v>
      </c>
      <c r="F21" s="43" t="s">
        <v>38</v>
      </c>
      <c r="G21" s="44" t="s">
        <v>47</v>
      </c>
      <c r="H21" s="43" t="s">
        <v>153</v>
      </c>
      <c r="I21" s="46">
        <v>46138.520833333336</v>
      </c>
      <c r="J21" s="46">
        <v>46138.583333333336</v>
      </c>
      <c r="K21" s="45" t="str">
        <f t="shared" ca="1" si="0"/>
        <v>Completed</v>
      </c>
      <c r="L21" s="47">
        <v>1.5</v>
      </c>
      <c r="M21" s="47">
        <v>1.5</v>
      </c>
      <c r="N21" s="45">
        <f>IF(ISBLANK(L21), "", L21*VLOOKUP($F21,Internal!$B$26:$C$32,2,FALSE))</f>
        <v>37.5</v>
      </c>
      <c r="O21" s="45">
        <f>IF(ISBLANK(M21), "", M21*VLOOKUP($F21,Internal!$B$26:$C$32,2,FALSE))</f>
        <v>37.5</v>
      </c>
      <c r="P21" s="44" t="s">
        <v>154</v>
      </c>
    </row>
    <row r="22" spans="2:16" ht="15" thickBot="1" x14ac:dyDescent="0.35">
      <c r="B22" s="41">
        <v>12</v>
      </c>
      <c r="C22" s="42" t="str">
        <f>IF(ISBLANK(D22), "", _xlfn.CONCAT("T", TEXT(B22, "0000"), "/", VLOOKUP(D22, Internal!$B$35:C$39, 2, FALSE), IF(OR(D22="QA", D22="Revision"), _xlfn.CONCAT("/", H22), "")))</f>
        <v>T0012/QA/</v>
      </c>
      <c r="D22" s="44" t="s">
        <v>49</v>
      </c>
      <c r="E22" s="43" t="s">
        <v>55</v>
      </c>
      <c r="F22" s="43" t="s">
        <v>56</v>
      </c>
      <c r="G22" s="44" t="s">
        <v>57</v>
      </c>
      <c r="H22" s="43"/>
      <c r="I22" s="46">
        <v>46139.645833333336</v>
      </c>
      <c r="J22" s="46">
        <v>46139.722222222219</v>
      </c>
      <c r="K22" s="45" t="str">
        <f t="shared" ca="1" si="0"/>
        <v>Completed</v>
      </c>
      <c r="L22" s="47">
        <v>2</v>
      </c>
      <c r="M22" s="47">
        <v>2</v>
      </c>
      <c r="N22" s="45">
        <f>IF(ISBLANK(L22), "", L22*VLOOKUP($F22,Internal!$B$26:$C$32,2,FALSE))</f>
        <v>0</v>
      </c>
      <c r="O22" s="45">
        <f>IF(ISBLANK(M22), "", M22*VLOOKUP($F22,Internal!$B$26:$C$32,2,FALSE))</f>
        <v>0</v>
      </c>
      <c r="P22" s="44"/>
    </row>
    <row r="23" spans="2:16" ht="15" thickBot="1" x14ac:dyDescent="0.35">
      <c r="B23" s="41">
        <v>13</v>
      </c>
      <c r="C23" s="42" t="str">
        <f>IF(ISBLANK(D23), "", _xlfn.CONCAT("T", TEXT(B23, "0000"), "/", VLOOKUP(D23, Internal!$B$35:C$39, 2, FALSE), IF(OR(D23="QA", D23="Revision"), _xlfn.CONCAT("/", H23), "")))</f>
        <v>T0013/QA/T0008/D</v>
      </c>
      <c r="D23" s="44" t="s">
        <v>49</v>
      </c>
      <c r="E23" s="43" t="s">
        <v>46</v>
      </c>
      <c r="F23" s="43" t="s">
        <v>51</v>
      </c>
      <c r="G23" s="44" t="s">
        <v>33</v>
      </c>
      <c r="H23" s="43" t="s">
        <v>152</v>
      </c>
      <c r="I23" s="46">
        <v>46139.645833333336</v>
      </c>
      <c r="J23" s="46">
        <v>46139.833333333336</v>
      </c>
      <c r="K23" s="45" t="str">
        <f t="shared" ca="1" si="0"/>
        <v>Completed</v>
      </c>
      <c r="L23" s="47">
        <v>2</v>
      </c>
      <c r="M23" s="47">
        <v>2.5</v>
      </c>
      <c r="N23" s="45">
        <f>IF(ISBLANK(L23), "", L23*VLOOKUP($F23,Internal!$B$26:$C$32,2,FALSE))</f>
        <v>60</v>
      </c>
      <c r="O23" s="45">
        <f>IF(ISBLANK(M23), "", M23*VLOOKUP($F23,Internal!$B$26:$C$32,2,FALSE))</f>
        <v>75</v>
      </c>
      <c r="P23" s="44" t="s">
        <v>156</v>
      </c>
    </row>
    <row r="24" spans="2:16" ht="15" thickBot="1" x14ac:dyDescent="0.35">
      <c r="B24" s="41">
        <v>14</v>
      </c>
      <c r="C24" s="42" t="str">
        <f>IF(ISBLANK(D24), "", _xlfn.CONCAT("T", TEXT(B24, "0000"), "/", VLOOKUP(D24, Internal!$B$35:C$39, 2, FALSE), IF(OR(D24="QA", D24="Revision"), _xlfn.CONCAT("/", H24), "")))</f>
        <v>T0014/D</v>
      </c>
      <c r="D24" s="44" t="s">
        <v>35</v>
      </c>
      <c r="E24" s="43" t="s">
        <v>46</v>
      </c>
      <c r="F24" s="43" t="s">
        <v>38</v>
      </c>
      <c r="G24" s="44" t="s">
        <v>47</v>
      </c>
      <c r="H24" s="43"/>
      <c r="I24" s="46">
        <v>46140.375</v>
      </c>
      <c r="J24" s="46">
        <v>46141.722222222219</v>
      </c>
      <c r="K24" s="45" t="str">
        <f t="shared" ca="1" si="0"/>
        <v>Completed</v>
      </c>
      <c r="L24" s="47">
        <v>5</v>
      </c>
      <c r="M24" s="47">
        <v>5</v>
      </c>
      <c r="N24" s="45">
        <f>IF(ISBLANK(L24), "", L24*VLOOKUP($F24,Internal!$B$26:$C$32,2,FALSE))</f>
        <v>125</v>
      </c>
      <c r="O24" s="45">
        <f>IF(ISBLANK(M24), "", M24*VLOOKUP($F24,Internal!$B$26:$C$32,2,FALSE))</f>
        <v>125</v>
      </c>
      <c r="P24" s="44" t="s">
        <v>157</v>
      </c>
    </row>
    <row r="25" spans="2:16" ht="15" thickBot="1" x14ac:dyDescent="0.35">
      <c r="B25" s="41">
        <v>15</v>
      </c>
      <c r="C25" s="42" t="str">
        <f>IF(ISBLANK(D25), "", _xlfn.CONCAT("T", TEXT(B25, "0000"), "/", VLOOKUP(D25, Internal!$B$35:C$39, 2, FALSE), IF(OR(D25="QA", D25="Revision"), _xlfn.CONCAT("/", H25), "")))</f>
        <v>T0015/R/T0014/D</v>
      </c>
      <c r="D25" s="44" t="s">
        <v>141</v>
      </c>
      <c r="E25" s="43" t="s">
        <v>31</v>
      </c>
      <c r="F25" s="43" t="s">
        <v>38</v>
      </c>
      <c r="G25" s="44" t="s">
        <v>130</v>
      </c>
      <c r="H25" s="43" t="s">
        <v>69</v>
      </c>
      <c r="I25" s="46">
        <v>46141.520833333336</v>
      </c>
      <c r="J25" s="46">
        <v>46141.53125</v>
      </c>
      <c r="K25" s="45" t="str">
        <f t="shared" ca="1" si="0"/>
        <v>Completed</v>
      </c>
      <c r="L25" s="47">
        <v>0.5</v>
      </c>
      <c r="M25" s="47">
        <v>0.25</v>
      </c>
      <c r="N25" s="45">
        <f>IF(ISBLANK(L25), "", L25*VLOOKUP($F25,Internal!$B$26:$C$32,2,FALSE))</f>
        <v>12.5</v>
      </c>
      <c r="O25" s="45">
        <f>IF(ISBLANK(M25), "", M25*VLOOKUP($F25,Internal!$B$26:$C$32,2,FALSE))</f>
        <v>6.25</v>
      </c>
      <c r="P25" s="44"/>
    </row>
    <row r="26" spans="2:16" ht="15" thickBot="1" x14ac:dyDescent="0.35">
      <c r="B26" s="41">
        <v>16</v>
      </c>
      <c r="C26" s="42" t="str">
        <f>IF(ISBLANK(D26), "", _xlfn.CONCAT("T", TEXT(B26, "0000"), "/", VLOOKUP(D26, Internal!$B$35:C$39, 2, FALSE), IF(OR(D26="QA", D26="Revision"), _xlfn.CONCAT("/", H26), "")))</f>
        <v>T0016/D</v>
      </c>
      <c r="D26" s="44" t="s">
        <v>35</v>
      </c>
      <c r="E26" s="43" t="s">
        <v>46</v>
      </c>
      <c r="F26" s="43" t="s">
        <v>38</v>
      </c>
      <c r="G26" s="44" t="s">
        <v>47</v>
      </c>
      <c r="H26" s="43"/>
      <c r="I26" s="46">
        <v>46142.416666666664</v>
      </c>
      <c r="J26" s="46">
        <v>46143.833333333336</v>
      </c>
      <c r="K26" s="45" t="str">
        <f t="shared" ca="1" si="0"/>
        <v>Completed</v>
      </c>
      <c r="L26" s="47">
        <v>3</v>
      </c>
      <c r="M26" s="47">
        <v>4</v>
      </c>
      <c r="N26" s="45">
        <f>IF(ISBLANK(L26), "", L26*VLOOKUP($F26,Internal!$B$26:$C$32,2,FALSE))</f>
        <v>75</v>
      </c>
      <c r="O26" s="45">
        <f>IF(ISBLANK(M26), "", M26*VLOOKUP($F26,Internal!$B$26:$C$32,2,FALSE))</f>
        <v>100</v>
      </c>
      <c r="P26" s="44" t="s">
        <v>161</v>
      </c>
    </row>
    <row r="27" spans="2:16" ht="15" thickBot="1" x14ac:dyDescent="0.35">
      <c r="B27" s="41">
        <v>17</v>
      </c>
      <c r="C27" s="42" t="str">
        <f>IF(ISBLANK(D27), "", _xlfn.CONCAT("T", TEXT(B27, "0000"), "/", VLOOKUP(D27, Internal!$B$35:C$39, 2, FALSE), IF(OR(D27="QA", D27="Revision"), _xlfn.CONCAT("/", H27), "")))</f>
        <v>T0017/QA/</v>
      </c>
      <c r="D27" s="44" t="s">
        <v>49</v>
      </c>
      <c r="E27" s="43" t="s">
        <v>55</v>
      </c>
      <c r="F27" s="43" t="s">
        <v>56</v>
      </c>
      <c r="G27" s="44" t="s">
        <v>57</v>
      </c>
      <c r="H27" s="43"/>
      <c r="I27" s="46">
        <v>46142.736111111109</v>
      </c>
      <c r="J27" s="46">
        <v>46142.8125</v>
      </c>
      <c r="K27" s="45" t="str">
        <f t="shared" ca="1" si="0"/>
        <v>Completed</v>
      </c>
      <c r="L27" s="47">
        <v>2</v>
      </c>
      <c r="M27" s="47">
        <v>2</v>
      </c>
      <c r="N27" s="45">
        <f>IF(ISBLANK(L27), "", L27*VLOOKUP($F27,Internal!$B$26:$C$32,2,FALSE))</f>
        <v>0</v>
      </c>
      <c r="O27" s="45">
        <f>IF(ISBLANK(M27), "", M27*VLOOKUP($F27,Internal!$B$26:$C$32,2,FALSE))</f>
        <v>0</v>
      </c>
      <c r="P27" s="44"/>
    </row>
    <row r="28" spans="2:16" ht="15" thickBot="1" x14ac:dyDescent="0.35">
      <c r="B28" s="41">
        <v>18</v>
      </c>
      <c r="C28" s="42" t="str">
        <f>IF(ISBLANK(D28), "", _xlfn.CONCAT("T", TEXT(B28, "0000"), "/", VLOOKUP(D28, Internal!$B$35:C$39, 2, FALSE), IF(OR(D28="QA", D28="Revision"), _xlfn.CONCAT("/", H28), "")))</f>
        <v>T0018/D</v>
      </c>
      <c r="D28" s="44" t="s">
        <v>35</v>
      </c>
      <c r="E28" s="43" t="s">
        <v>61</v>
      </c>
      <c r="F28" s="43" t="s">
        <v>38</v>
      </c>
      <c r="G28" s="44" t="s">
        <v>47</v>
      </c>
      <c r="H28" s="43"/>
      <c r="I28" s="46">
        <v>46142.833333333336</v>
      </c>
      <c r="J28" s="46">
        <v>46143.5</v>
      </c>
      <c r="K28" s="45" t="str">
        <f t="shared" ca="1" si="0"/>
        <v>Completed</v>
      </c>
      <c r="L28" s="47">
        <v>4</v>
      </c>
      <c r="M28" s="47">
        <v>5</v>
      </c>
      <c r="N28" s="45">
        <f>IF(ISBLANK(L28), "", L28*VLOOKUP($F28,Internal!$B$26:$C$32,2,FALSE))</f>
        <v>100</v>
      </c>
      <c r="O28" s="45">
        <f>IF(ISBLANK(M28), "", M28*VLOOKUP($F28,Internal!$B$26:$C$32,2,FALSE))</f>
        <v>125</v>
      </c>
      <c r="P28" s="44" t="s">
        <v>158</v>
      </c>
    </row>
    <row r="29" spans="2:16" ht="15" thickBot="1" x14ac:dyDescent="0.35">
      <c r="B29" s="41">
        <v>19</v>
      </c>
      <c r="C29" s="42" t="str">
        <f>IF(ISBLANK(D29), "", _xlfn.CONCAT("T", TEXT(B29, "0000"), "/", VLOOKUP(D29, Internal!$B$35:C$39, 2, FALSE), IF(OR(D29="QA", D29="Revision"), _xlfn.CONCAT("/", H29), "")))</f>
        <v>T0019/D</v>
      </c>
      <c r="D29" s="44" t="s">
        <v>35</v>
      </c>
      <c r="E29" s="43" t="s">
        <v>50</v>
      </c>
      <c r="F29" s="43" t="s">
        <v>38</v>
      </c>
      <c r="G29" s="44" t="s">
        <v>130</v>
      </c>
      <c r="H29" s="43" t="s">
        <v>73</v>
      </c>
      <c r="I29" s="46">
        <v>46144.375</v>
      </c>
      <c r="J29" s="46">
        <v>46144.385416666664</v>
      </c>
      <c r="K29" s="45" t="str">
        <f t="shared" ca="1" si="0"/>
        <v>Completed</v>
      </c>
      <c r="L29" s="47">
        <v>0.5</v>
      </c>
      <c r="M29" s="47">
        <v>0.25</v>
      </c>
      <c r="N29" s="45">
        <f>IF(ISBLANK(L29), "", L29*VLOOKUP($F29,Internal!$B$26:$C$32,2,FALSE))</f>
        <v>12.5</v>
      </c>
      <c r="O29" s="45">
        <f>IF(ISBLANK(M29), "", M29*VLOOKUP($F29,Internal!$B$26:$C$32,2,FALSE))</f>
        <v>6.25</v>
      </c>
      <c r="P29" s="44"/>
    </row>
    <row r="30" spans="2:16" ht="15" thickBot="1" x14ac:dyDescent="0.35">
      <c r="B30" s="41">
        <v>20</v>
      </c>
      <c r="C30" s="42" t="str">
        <f>IF(ISBLANK(D30), "", _xlfn.CONCAT("T", TEXT(B30, "0000"), "/", VLOOKUP(D30, Internal!$B$35:C$39, 2, FALSE), IF(OR(D30="QA", D30="Revision"), _xlfn.CONCAT("/", H30), "")))</f>
        <v>T0020/D</v>
      </c>
      <c r="D30" s="44" t="s">
        <v>35</v>
      </c>
      <c r="E30" s="43" t="s">
        <v>31</v>
      </c>
      <c r="F30" s="43" t="s">
        <v>38</v>
      </c>
      <c r="G30" s="44" t="s">
        <v>130</v>
      </c>
      <c r="H30" s="43" t="s">
        <v>159</v>
      </c>
      <c r="I30" s="46">
        <v>46144.5</v>
      </c>
      <c r="J30" s="46">
        <v>46144.510416666664</v>
      </c>
      <c r="K30" s="45" t="str">
        <f t="shared" ca="1" si="0"/>
        <v>Completed</v>
      </c>
      <c r="L30" s="47">
        <v>0.25</v>
      </c>
      <c r="M30" s="47">
        <v>0.25</v>
      </c>
      <c r="N30" s="45">
        <f>IF(ISBLANK(L30), "", L30*VLOOKUP($F30,Internal!$B$26:$C$32,2,FALSE))</f>
        <v>6.25</v>
      </c>
      <c r="O30" s="45">
        <f>IF(ISBLANK(M30), "", M30*VLOOKUP($F30,Internal!$B$26:$C$32,2,FALSE))</f>
        <v>6.25</v>
      </c>
      <c r="P30" s="44"/>
    </row>
    <row r="31" spans="2:16" ht="15" thickBot="1" x14ac:dyDescent="0.35">
      <c r="B31" s="41">
        <v>21</v>
      </c>
      <c r="C31" s="42" t="str">
        <f>IF(ISBLANK(D31), "", _xlfn.CONCAT("T", TEXT(B31, "0000"), "/", VLOOKUP(D31, Internal!$B$35:C$39, 2, FALSE), IF(OR(D31="QA", D31="Revision"), _xlfn.CONCAT("/", H31), "")))</f>
        <v>T0021/D</v>
      </c>
      <c r="D31" s="44" t="s">
        <v>35</v>
      </c>
      <c r="E31" s="43" t="s">
        <v>61</v>
      </c>
      <c r="F31" s="43" t="s">
        <v>38</v>
      </c>
      <c r="G31" s="44" t="s">
        <v>47</v>
      </c>
      <c r="H31" s="43" t="s">
        <v>159</v>
      </c>
      <c r="I31" s="46">
        <v>46147.375</v>
      </c>
      <c r="J31" s="46">
        <v>46147.5</v>
      </c>
      <c r="K31" s="45" t="str">
        <f t="shared" ca="1" si="0"/>
        <v>Completed</v>
      </c>
      <c r="L31" s="47">
        <v>1</v>
      </c>
      <c r="M31" s="47">
        <v>1.5</v>
      </c>
      <c r="N31" s="45">
        <f>IF(ISBLANK(L31), "", L31*VLOOKUP($F31,Internal!$B$26:$C$32,2,FALSE))</f>
        <v>25</v>
      </c>
      <c r="O31" s="45">
        <f>IF(ISBLANK(M31), "", M31*VLOOKUP($F31,Internal!$B$26:$C$32,2,FALSE))</f>
        <v>37.5</v>
      </c>
      <c r="P31" s="44" t="s">
        <v>160</v>
      </c>
    </row>
    <row r="32" spans="2:16" ht="15" thickBot="1" x14ac:dyDescent="0.35">
      <c r="B32" s="41">
        <v>22</v>
      </c>
      <c r="C32" s="42" t="str">
        <f>IF(ISBLANK(D32), "", _xlfn.CONCAT("T", TEXT(B32, "0000"), "/", VLOOKUP(D32, Internal!$B$35:C$39, 2, FALSE), IF(OR(D32="QA", D32="Revision"), _xlfn.CONCAT("/", H32), "")))</f>
        <v>T0022/D</v>
      </c>
      <c r="D32" s="44" t="s">
        <v>35</v>
      </c>
      <c r="E32" s="43" t="s">
        <v>46</v>
      </c>
      <c r="F32" s="43" t="s">
        <v>38</v>
      </c>
      <c r="G32" s="44" t="s">
        <v>47</v>
      </c>
      <c r="H32" s="43"/>
      <c r="I32" s="46">
        <v>46145.416666666664</v>
      </c>
      <c r="J32" s="46">
        <v>46146.958333333336</v>
      </c>
      <c r="K32" s="45" t="str">
        <f t="shared" ca="1" si="0"/>
        <v>Completed</v>
      </c>
      <c r="L32" s="47">
        <v>5</v>
      </c>
      <c r="M32" s="47">
        <v>7</v>
      </c>
      <c r="N32" s="45">
        <f>IF(ISBLANK(L32), "", L32*VLOOKUP($F32,Internal!$B$26:$C$32,2,FALSE))</f>
        <v>125</v>
      </c>
      <c r="O32" s="45">
        <f>IF(ISBLANK(M32), "", M32*VLOOKUP($F32,Internal!$B$26:$C$32,2,FALSE))</f>
        <v>175</v>
      </c>
      <c r="P32" s="44" t="s">
        <v>162</v>
      </c>
    </row>
    <row r="33" spans="2:16" ht="15" thickBot="1" x14ac:dyDescent="0.35">
      <c r="B33" s="41">
        <v>23</v>
      </c>
      <c r="C33" s="42" t="str">
        <f>IF(ISBLANK(D33), "", _xlfn.CONCAT("T", TEXT(B33, "0000"), "/", VLOOKUP(D33, Internal!$B$35:C$39, 2, FALSE), IF(OR(D33="QA", D33="Revision"), _xlfn.CONCAT("/", H33), "")))</f>
        <v>T0023/QA/</v>
      </c>
      <c r="D33" s="44" t="s">
        <v>49</v>
      </c>
      <c r="E33" s="43" t="s">
        <v>55</v>
      </c>
      <c r="F33" s="43" t="s">
        <v>56</v>
      </c>
      <c r="G33" s="44" t="s">
        <v>57</v>
      </c>
      <c r="H33" s="43"/>
      <c r="I33" s="46">
        <v>46146.645833333336</v>
      </c>
      <c r="J33" s="46">
        <v>46146.729166666664</v>
      </c>
      <c r="K33" s="45" t="str">
        <f t="shared" ca="1" si="0"/>
        <v>Completed</v>
      </c>
      <c r="L33" s="47">
        <v>2</v>
      </c>
      <c r="M33" s="47">
        <v>2</v>
      </c>
      <c r="N33" s="45">
        <f>IF(ISBLANK(L33), "", L33*VLOOKUP($F33,Internal!$B$26:$C$32,2,FALSE))</f>
        <v>0</v>
      </c>
      <c r="O33" s="45">
        <f>IF(ISBLANK(M33), "", M33*VLOOKUP($F33,Internal!$B$26:$C$32,2,FALSE))</f>
        <v>0</v>
      </c>
      <c r="P33" s="44"/>
    </row>
    <row r="34" spans="2:16" ht="15" thickBot="1" x14ac:dyDescent="0.35">
      <c r="B34" s="41">
        <v>24</v>
      </c>
      <c r="C34" s="42" t="str">
        <f>IF(ISBLANK(D34), "", _xlfn.CONCAT("T", TEXT(B34, "0000"), "/", VLOOKUP(D34, Internal!$B$35:C$39, 2, FALSE), IF(OR(D34="QA", D34="Revision"), _xlfn.CONCAT("/", H34), "")))</f>
        <v>T0024/R/T0022/D</v>
      </c>
      <c r="D34" s="44" t="s">
        <v>141</v>
      </c>
      <c r="E34" s="43" t="s">
        <v>31</v>
      </c>
      <c r="F34" s="43" t="s">
        <v>38</v>
      </c>
      <c r="G34" s="44" t="s">
        <v>130</v>
      </c>
      <c r="H34" s="43" t="s">
        <v>163</v>
      </c>
      <c r="I34" s="46">
        <v>46147.375</v>
      </c>
      <c r="J34" s="46">
        <v>46147.458333333336</v>
      </c>
      <c r="K34" s="45" t="str">
        <f t="shared" ca="1" si="0"/>
        <v>Completed</v>
      </c>
      <c r="L34" s="47">
        <v>0.5</v>
      </c>
      <c r="M34" s="47">
        <v>1.5</v>
      </c>
      <c r="N34" s="45">
        <f>IF(ISBLANK(L34), "", L34*VLOOKUP($F34,Internal!$B$26:$C$32,2,FALSE))</f>
        <v>12.5</v>
      </c>
      <c r="O34" s="45">
        <f>IF(ISBLANK(M34), "", M34*VLOOKUP($F34,Internal!$B$26:$C$32,2,FALSE))</f>
        <v>37.5</v>
      </c>
      <c r="P34" s="44" t="s">
        <v>164</v>
      </c>
    </row>
    <row r="35" spans="2:16" ht="15" thickBot="1" x14ac:dyDescent="0.35">
      <c r="B35" s="41">
        <v>25</v>
      </c>
      <c r="C35" s="42" t="str">
        <f>IF(ISBLANK(D35), "", _xlfn.CONCAT("T", TEXT(B35, "0000"), "/", VLOOKUP(D35, Internal!$B$35:C$39, 2, FALSE), IF(OR(D35="QA", D35="Revision"), _xlfn.CONCAT("/", H35), "")))</f>
        <v>T0025/R/T0022/D</v>
      </c>
      <c r="D35" s="44" t="s">
        <v>141</v>
      </c>
      <c r="E35" s="43" t="s">
        <v>50</v>
      </c>
      <c r="F35" s="43" t="s">
        <v>38</v>
      </c>
      <c r="G35" s="44" t="s">
        <v>130</v>
      </c>
      <c r="H35" s="43" t="s">
        <v>163</v>
      </c>
      <c r="I35" s="46">
        <v>46147.416666666664</v>
      </c>
      <c r="J35" s="46">
        <v>46147.458333333336</v>
      </c>
      <c r="K35" s="45" t="str">
        <f t="shared" ca="1" si="0"/>
        <v>Completed</v>
      </c>
      <c r="L35" s="47">
        <v>0.5</v>
      </c>
      <c r="M35" s="47">
        <v>1</v>
      </c>
      <c r="N35" s="45">
        <f>IF(ISBLANK(L35), "", L35*VLOOKUP($F35,Internal!$B$26:$C$32,2,FALSE))</f>
        <v>12.5</v>
      </c>
      <c r="O35" s="45">
        <f>IF(ISBLANK(M35), "", M35*VLOOKUP($F35,Internal!$B$26:$C$32,2,FALSE))</f>
        <v>25</v>
      </c>
      <c r="P35" s="44" t="s">
        <v>165</v>
      </c>
    </row>
    <row r="36" spans="2:16" ht="15" thickBot="1" x14ac:dyDescent="0.35">
      <c r="B36" s="41">
        <v>26</v>
      </c>
      <c r="C36" s="42" t="str">
        <f>IF(ISBLANK(D36), "", _xlfn.CONCAT("T", TEXT(B36, "0000"), "/", VLOOKUP(D36, Internal!$B$35:C$39, 2, FALSE), IF(OR(D36="QA", D36="Revision"), _xlfn.CONCAT("/", H36), "")))</f>
        <v>T0026/D</v>
      </c>
      <c r="D36" s="44" t="s">
        <v>35</v>
      </c>
      <c r="E36" s="43" t="s">
        <v>50</v>
      </c>
      <c r="F36" s="43" t="s">
        <v>38</v>
      </c>
      <c r="G36" s="44" t="s">
        <v>47</v>
      </c>
      <c r="H36" s="43"/>
      <c r="I36" s="46">
        <v>46148.520833333336</v>
      </c>
      <c r="J36" s="46">
        <v>46148.822916666664</v>
      </c>
      <c r="K36" s="45" t="str">
        <f t="shared" ca="1" si="0"/>
        <v>Completed</v>
      </c>
      <c r="L36" s="47">
        <v>2</v>
      </c>
      <c r="M36" s="47">
        <v>2.25</v>
      </c>
      <c r="N36" s="45">
        <f>IF(ISBLANK(L36), "", L36*VLOOKUP($F36,Internal!$B$26:$C$32,2,FALSE))</f>
        <v>50</v>
      </c>
      <c r="O36" s="45">
        <f>IF(ISBLANK(M36), "", M36*VLOOKUP($F36,Internal!$B$26:$C$32,2,FALSE))</f>
        <v>56.25</v>
      </c>
      <c r="P36" s="44" t="s">
        <v>166</v>
      </c>
    </row>
    <row r="37" spans="2:16" ht="15" thickBot="1" x14ac:dyDescent="0.35">
      <c r="B37" s="41">
        <v>27</v>
      </c>
      <c r="C37" s="42" t="str">
        <f>IF(ISBLANK(D37), "", _xlfn.CONCAT("T", TEXT(B37, "0000"), "/", VLOOKUP(D37, Internal!$B$35:C$39, 2, FALSE), IF(OR(D37="QA", D37="Revision"), _xlfn.CONCAT("/", H37), "")))</f>
        <v>T0027/D</v>
      </c>
      <c r="D37" s="44" t="s">
        <v>35</v>
      </c>
      <c r="E37" s="43" t="s">
        <v>61</v>
      </c>
      <c r="F37" s="43" t="s">
        <v>38</v>
      </c>
      <c r="G37" s="44" t="s">
        <v>47</v>
      </c>
      <c r="H37" s="43"/>
      <c r="I37" s="46">
        <v>46148.541666666664</v>
      </c>
      <c r="J37" s="46">
        <v>46148.645833333336</v>
      </c>
      <c r="K37" s="45" t="str">
        <f t="shared" ca="1" si="0"/>
        <v>Completed</v>
      </c>
      <c r="L37" s="47">
        <v>1</v>
      </c>
      <c r="M37" s="47">
        <v>0.75</v>
      </c>
      <c r="N37" s="45">
        <f>IF(ISBLANK(L37), "", L37*VLOOKUP($F37,Internal!$B$26:$C$32,2,FALSE))</f>
        <v>25</v>
      </c>
      <c r="O37" s="45">
        <f>IF(ISBLANK(M37), "", M37*VLOOKUP($F37,Internal!$B$26:$C$32,2,FALSE))</f>
        <v>18.75</v>
      </c>
      <c r="P37" s="44" t="s">
        <v>167</v>
      </c>
    </row>
    <row r="38" spans="2:16" ht="15" thickBot="1" x14ac:dyDescent="0.35">
      <c r="B38" s="41">
        <v>28</v>
      </c>
      <c r="C38" s="42" t="str">
        <f>IF(ISBLANK(D38), "", _xlfn.CONCAT("T", TEXT(B38, "0000"), "/", VLOOKUP(D38, Internal!$B$35:C$39, 2, FALSE), IF(OR(D38="QA", D38="Revision"), _xlfn.CONCAT("/", H38), "")))</f>
        <v>T0028/D</v>
      </c>
      <c r="D38" s="44" t="s">
        <v>35</v>
      </c>
      <c r="E38" s="43" t="s">
        <v>46</v>
      </c>
      <c r="F38" s="43" t="s">
        <v>38</v>
      </c>
      <c r="G38" s="44" t="s">
        <v>47</v>
      </c>
      <c r="H38" s="43"/>
      <c r="I38" s="46">
        <v>46148.645833333336</v>
      </c>
      <c r="J38" s="46">
        <v>46150.166666666664</v>
      </c>
      <c r="K38" s="45" t="str">
        <f t="shared" ca="1" si="0"/>
        <v>Completed</v>
      </c>
      <c r="L38" s="47">
        <v>5</v>
      </c>
      <c r="M38" s="47">
        <v>8</v>
      </c>
      <c r="N38" s="45">
        <f>IF(ISBLANK(L38), "", L38*VLOOKUP($F38,Internal!$B$26:$C$32,2,FALSE))</f>
        <v>125</v>
      </c>
      <c r="O38" s="45">
        <f>IF(ISBLANK(M38), "", M38*VLOOKUP($F38,Internal!$B$26:$C$32,2,FALSE))</f>
        <v>200</v>
      </c>
      <c r="P38" s="44" t="s">
        <v>168</v>
      </c>
    </row>
    <row r="39" spans="2:16" ht="15" thickBot="1" x14ac:dyDescent="0.35">
      <c r="B39" s="41">
        <v>29</v>
      </c>
      <c r="C39" s="42" t="str">
        <f>IF(ISBLANK(D39), "", _xlfn.CONCAT("T", TEXT(B39, "0000"), "/", VLOOKUP(D39, Internal!$B$35:C$39, 2, FALSE), IF(OR(D39="QA", D39="Revision"), _xlfn.CONCAT("/", H39), "")))</f>
        <v>T0029/D</v>
      </c>
      <c r="D39" s="44" t="s">
        <v>35</v>
      </c>
      <c r="E39" s="43" t="s">
        <v>31</v>
      </c>
      <c r="F39" s="43" t="s">
        <v>38</v>
      </c>
      <c r="G39" s="44" t="s">
        <v>47</v>
      </c>
      <c r="H39" s="43"/>
      <c r="I39" s="46">
        <v>46149.5</v>
      </c>
      <c r="J39" s="46">
        <v>46149.958333333336</v>
      </c>
      <c r="K39" s="45" t="str">
        <f t="shared" ca="1" si="0"/>
        <v>Completed</v>
      </c>
      <c r="L39" s="47">
        <v>3</v>
      </c>
      <c r="M39" s="47">
        <v>4</v>
      </c>
      <c r="N39" s="45">
        <f>IF(ISBLANK(L39), "", L39*VLOOKUP($F39,Internal!$B$26:$C$32,2,FALSE))</f>
        <v>75</v>
      </c>
      <c r="O39" s="45">
        <f>IF(ISBLANK(M39), "", M39*VLOOKUP($F39,Internal!$B$26:$C$32,2,FALSE))</f>
        <v>100</v>
      </c>
      <c r="P39" s="44" t="s">
        <v>169</v>
      </c>
    </row>
    <row r="40" spans="2:16" ht="15" thickBot="1" x14ac:dyDescent="0.35">
      <c r="B40" s="41">
        <v>30</v>
      </c>
      <c r="C40" s="42" t="str">
        <f>IF(ISBLANK(D40), "", _xlfn.CONCAT("T", TEXT(B40, "0000"), "/", VLOOKUP(D40, Internal!$B$35:C$39, 2, FALSE), IF(OR(D40="QA", D40="Revision"), _xlfn.CONCAT("/", H40), "")))</f>
        <v>T0030/QA/</v>
      </c>
      <c r="D40" s="44" t="s">
        <v>49</v>
      </c>
      <c r="E40" s="43" t="s">
        <v>55</v>
      </c>
      <c r="F40" s="43" t="s">
        <v>56</v>
      </c>
      <c r="G40" s="44" t="s">
        <v>57</v>
      </c>
      <c r="H40" s="43"/>
      <c r="I40" s="46">
        <v>46149.736111111109</v>
      </c>
      <c r="J40" s="46">
        <v>46149.8125</v>
      </c>
      <c r="K40" s="45" t="str">
        <f t="shared" ca="1" si="0"/>
        <v>Completed</v>
      </c>
      <c r="L40" s="47">
        <v>2</v>
      </c>
      <c r="M40" s="47">
        <v>2</v>
      </c>
      <c r="N40" s="45">
        <f>IF(ISBLANK(L40), "", L40*VLOOKUP($F40,Internal!$B$26:$C$32,2,FALSE))</f>
        <v>0</v>
      </c>
      <c r="O40" s="45">
        <f>IF(ISBLANK(M40), "", M40*VLOOKUP($F40,Internal!$B$26:$C$32,2,FALSE))</f>
        <v>0</v>
      </c>
      <c r="P40" s="44"/>
    </row>
    <row r="41" spans="2:16" ht="15" thickBot="1" x14ac:dyDescent="0.35">
      <c r="B41" s="41">
        <v>31</v>
      </c>
      <c r="C41" s="42" t="str">
        <f>IF(ISBLANK(D41), "", _xlfn.CONCAT("T", TEXT(B41, "0000"), "/", VLOOKUP(D41, Internal!$B$35:C$39, 2, FALSE), IF(OR(D41="QA", D41="Revision"), _xlfn.CONCAT("/", H41), "")))</f>
        <v>T0031/R/</v>
      </c>
      <c r="D41" s="44" t="s">
        <v>141</v>
      </c>
      <c r="E41" s="43" t="s">
        <v>50</v>
      </c>
      <c r="F41" s="43" t="s">
        <v>51</v>
      </c>
      <c r="G41" s="44" t="s">
        <v>132</v>
      </c>
      <c r="H41" s="43"/>
      <c r="I41" s="46">
        <v>46150.375</v>
      </c>
      <c r="J41" s="46">
        <v>46150.9375</v>
      </c>
      <c r="K41" s="45" t="str">
        <f t="shared" ca="1" si="0"/>
        <v>Completed</v>
      </c>
      <c r="L41" s="47">
        <v>5</v>
      </c>
      <c r="M41" s="47">
        <v>6</v>
      </c>
      <c r="N41" s="45">
        <f>IF(ISBLANK(L41), "", L41*VLOOKUP($F41,Internal!$B$26:$C$32,2,FALSE))</f>
        <v>150</v>
      </c>
      <c r="O41" s="45">
        <f>IF(ISBLANK(M41), "", M41*VLOOKUP($F41,Internal!$B$26:$C$32,2,FALSE))</f>
        <v>180</v>
      </c>
      <c r="P41" s="44"/>
    </row>
    <row r="42" spans="2:16" ht="15" thickBot="1" x14ac:dyDescent="0.35">
      <c r="B42" s="41">
        <v>32</v>
      </c>
      <c r="C42" s="42" t="str">
        <f>IF(ISBLANK(D42), "", _xlfn.CONCAT("T", TEXT(B42, "0000"), "/", VLOOKUP(D42, Internal!$B$35:C$39, 2, FALSE), IF(OR(D42="QA", D42="Revision"), _xlfn.CONCAT("/", H42), "")))</f>
        <v>T0032/R/</v>
      </c>
      <c r="D42" s="44" t="s">
        <v>141</v>
      </c>
      <c r="E42" s="43" t="s">
        <v>50</v>
      </c>
      <c r="F42" s="43" t="s">
        <v>51</v>
      </c>
      <c r="G42" s="44" t="s">
        <v>133</v>
      </c>
      <c r="H42" s="43"/>
      <c r="I42" s="46">
        <v>46150.5</v>
      </c>
      <c r="J42" s="46">
        <v>46150.9375</v>
      </c>
      <c r="K42" s="45" t="str">
        <f t="shared" ca="1" si="0"/>
        <v>Completed</v>
      </c>
      <c r="L42" s="47">
        <v>4</v>
      </c>
      <c r="M42" s="47">
        <v>4</v>
      </c>
      <c r="N42" s="45">
        <f>IF(ISBLANK(L42), "", L42*VLOOKUP($F42,Internal!$B$26:$C$32,2,FALSE))</f>
        <v>120</v>
      </c>
      <c r="O42" s="45">
        <f>IF(ISBLANK(M42), "", M42*VLOOKUP($F42,Internal!$B$26:$C$32,2,FALSE))</f>
        <v>120</v>
      </c>
      <c r="P42" s="44"/>
    </row>
    <row r="43" spans="2:16" ht="15" thickBot="1" x14ac:dyDescent="0.35">
      <c r="B43" s="41">
        <v>33</v>
      </c>
      <c r="C43" s="42" t="str">
        <f>IF(ISBLANK(D43), "", _xlfn.CONCAT("T", TEXT(B43, "0000"), "/", VLOOKUP(D43, Internal!$B$35:C$39, 2, FALSE), IF(OR(D43="QA", D43="Revision"), _xlfn.CONCAT("/", H43), "")))</f>
        <v>T0033/QA/</v>
      </c>
      <c r="D43" s="44" t="s">
        <v>49</v>
      </c>
      <c r="E43" s="43" t="s">
        <v>50</v>
      </c>
      <c r="F43" s="43" t="s">
        <v>51</v>
      </c>
      <c r="G43" s="44" t="s">
        <v>40</v>
      </c>
      <c r="H43" s="43"/>
      <c r="I43" s="46">
        <v>46150.9375</v>
      </c>
      <c r="J43" s="46">
        <v>46150.958333333336</v>
      </c>
      <c r="K43" s="45" t="str">
        <f t="shared" ca="1" si="0"/>
        <v>Completed</v>
      </c>
      <c r="L43" s="47">
        <v>1</v>
      </c>
      <c r="M43" s="47">
        <v>1.25</v>
      </c>
      <c r="N43" s="45">
        <f>IF(ISBLANK(L43), "", L43*VLOOKUP($F43,Internal!$B$26:$C$32,2,FALSE))</f>
        <v>30</v>
      </c>
      <c r="O43" s="45">
        <f>IF(ISBLANK(M43), "", M43*VLOOKUP($F43,Internal!$B$26:$C$32,2,FALSE))</f>
        <v>37.5</v>
      </c>
      <c r="P43" s="44"/>
    </row>
    <row r="44" spans="2:16" ht="15"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3" priority="2">
      <formula>AND(H11&lt;&gt;"",COUNTIF($C$11:$C$110,H11)=0)</formula>
    </cfRule>
  </conditionalFormatting>
  <conditionalFormatting sqref="J18:J110">
    <cfRule type="expression" dxfId="2" priority="1">
      <formula>AND(I18&lt;&gt;"",J18&lt;&gt;"", I18&gt;J18)</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P11:P110 K11:K110" xr:uid="{E5549F6F-C1FD-4A7F-AE83-0FCE85CAE310}"/>
    <dataValidation allowBlank="1" showInputMessage="1" showErrorMessage="1" promptTitle="Actual workload" prompt="Enter the actual workload in hours or fractions._x000a_" sqref="M11:M41 M44: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M42:M43 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J18:J110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J11:J17 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defaultColWidth="8.6640625" defaultRowHeight="14.4" x14ac:dyDescent="0.3"/>
  <cols>
    <col min="3" max="15" width="18.88671875" customWidth="1"/>
    <col min="16" max="16" width="64.5546875" customWidth="1"/>
  </cols>
  <sheetData>
    <row r="2" spans="2:16" x14ac:dyDescent="0.3">
      <c r="C2" s="55" t="s">
        <v>109</v>
      </c>
      <c r="D2" s="55"/>
      <c r="E2" s="55"/>
      <c r="F2" s="55"/>
      <c r="G2" s="55"/>
      <c r="H2" s="55"/>
      <c r="I2" s="55"/>
      <c r="J2" s="55"/>
      <c r="K2" s="55"/>
      <c r="L2" s="55"/>
      <c r="M2" s="55"/>
      <c r="N2" s="55"/>
      <c r="O2" s="55"/>
      <c r="P2" s="55"/>
    </row>
    <row r="4" spans="2:16" ht="15" customHeight="1" x14ac:dyDescent="0.3">
      <c r="C4" s="56" t="s">
        <v>10</v>
      </c>
      <c r="D4" s="56"/>
      <c r="E4" s="56"/>
      <c r="F4" s="56"/>
      <c r="G4" s="56"/>
      <c r="H4" s="56"/>
      <c r="I4" s="56"/>
      <c r="J4" s="56"/>
      <c r="K4" s="56"/>
      <c r="L4" s="56"/>
      <c r="M4" s="56"/>
      <c r="N4" s="56"/>
      <c r="O4" s="56"/>
      <c r="P4" s="56"/>
    </row>
    <row r="5" spans="2:16" x14ac:dyDescent="0.3">
      <c r="C5" s="5"/>
      <c r="D5" s="5"/>
      <c r="E5" s="5"/>
      <c r="F5" s="5"/>
      <c r="G5" s="5"/>
      <c r="H5" s="5"/>
      <c r="I5" s="5"/>
      <c r="J5" s="5"/>
      <c r="K5" s="5"/>
      <c r="L5" s="5"/>
      <c r="M5" s="5"/>
      <c r="N5" s="5"/>
      <c r="O5" s="5"/>
      <c r="P5" s="5"/>
    </row>
    <row r="6" spans="2:16" x14ac:dyDescent="0.3">
      <c r="C6" s="53" t="s">
        <v>11</v>
      </c>
      <c r="D6" s="10" t="s">
        <v>12</v>
      </c>
      <c r="E6" s="35">
        <f>SUM(N11:N110)</f>
        <v>0</v>
      </c>
      <c r="F6" s="5"/>
      <c r="G6" s="5"/>
      <c r="H6" s="5"/>
      <c r="I6" s="5"/>
      <c r="J6" s="5"/>
      <c r="K6" s="5"/>
      <c r="L6" s="5"/>
      <c r="M6" s="5"/>
      <c r="N6" s="5"/>
      <c r="O6" s="5"/>
      <c r="P6" s="5"/>
    </row>
    <row r="7" spans="2:16" x14ac:dyDescent="0.3">
      <c r="C7" s="53"/>
      <c r="D7" s="11" t="s">
        <v>13</v>
      </c>
      <c r="E7" s="36">
        <f>SUM(O11:O110)</f>
        <v>0</v>
      </c>
      <c r="J7" s="37"/>
    </row>
    <row r="9" spans="2:16" x14ac:dyDescent="0.3">
      <c r="B9" s="6"/>
      <c r="C9" s="7"/>
      <c r="D9" s="7"/>
      <c r="E9" s="7"/>
      <c r="F9" s="7"/>
      <c r="G9" s="7"/>
      <c r="H9" s="7"/>
      <c r="I9" s="54" t="s">
        <v>14</v>
      </c>
      <c r="J9" s="54"/>
      <c r="K9" s="7"/>
      <c r="L9" s="54" t="s">
        <v>15</v>
      </c>
      <c r="M9" s="54"/>
      <c r="N9" s="54" t="s">
        <v>16</v>
      </c>
      <c r="O9" s="54"/>
      <c r="P9" s="7"/>
    </row>
    <row r="10" spans="2:16" ht="15" thickBot="1" x14ac:dyDescent="0.3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x14ac:dyDescent="0.3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x14ac:dyDescent="0.3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x14ac:dyDescent="0.3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x14ac:dyDescent="0.3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x14ac:dyDescent="0.3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x14ac:dyDescent="0.3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x14ac:dyDescent="0.3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x14ac:dyDescent="0.3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x14ac:dyDescent="0.3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x14ac:dyDescent="0.3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x14ac:dyDescent="0.3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x14ac:dyDescent="0.3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x14ac:dyDescent="0.3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x14ac:dyDescent="0.3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x14ac:dyDescent="0.3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x14ac:dyDescent="0.3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x14ac:dyDescent="0.3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x14ac:dyDescent="0.3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x14ac:dyDescent="0.3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x14ac:dyDescent="0.3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x14ac:dyDescent="0.3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x14ac:dyDescent="0.3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x14ac:dyDescent="0.3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x14ac:dyDescent="0.3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x14ac:dyDescent="0.3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x14ac:dyDescent="0.3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x14ac:dyDescent="0.3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x14ac:dyDescent="0.3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x14ac:dyDescent="0.3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x14ac:dyDescent="0.3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x14ac:dyDescent="0.3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x14ac:dyDescent="0.3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x14ac:dyDescent="0.3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workbookViewId="0"/>
  </sheetViews>
  <sheetFormatPr defaultColWidth="8.6640625" defaultRowHeight="14.4" x14ac:dyDescent="0.3"/>
  <cols>
    <col min="2" max="10" width="22" customWidth="1"/>
  </cols>
  <sheetData>
    <row r="2" spans="2:10" x14ac:dyDescent="0.3">
      <c r="B2" s="55" t="s">
        <v>110</v>
      </c>
      <c r="C2" s="55"/>
      <c r="D2" s="55"/>
      <c r="E2" s="55"/>
      <c r="F2" s="55"/>
      <c r="G2" s="55"/>
      <c r="H2" s="55"/>
      <c r="I2" s="55"/>
      <c r="J2" s="55"/>
    </row>
    <row r="4" spans="2:10" x14ac:dyDescent="0.3">
      <c r="B4" s="56" t="s">
        <v>111</v>
      </c>
      <c r="C4" s="56"/>
      <c r="D4" s="56"/>
      <c r="E4" s="56"/>
      <c r="F4" s="56"/>
      <c r="G4" s="56"/>
      <c r="H4" s="56"/>
      <c r="I4" s="56"/>
      <c r="J4" s="56"/>
    </row>
    <row r="5" spans="2:10" x14ac:dyDescent="0.3">
      <c r="B5" s="56"/>
      <c r="C5" s="56"/>
      <c r="D5" s="56"/>
      <c r="E5" s="56"/>
      <c r="F5" s="56"/>
      <c r="G5" s="56"/>
      <c r="H5" s="56"/>
      <c r="I5" s="56"/>
      <c r="J5" s="56"/>
    </row>
    <row r="6" spans="2:10" x14ac:dyDescent="0.3">
      <c r="B6" s="56"/>
      <c r="C6" s="56"/>
      <c r="D6" s="56"/>
      <c r="E6" s="56"/>
      <c r="F6" s="56"/>
      <c r="G6" s="56"/>
      <c r="H6" s="56"/>
      <c r="I6" s="56"/>
      <c r="J6" s="56"/>
    </row>
    <row r="7" spans="2:10" x14ac:dyDescent="0.3">
      <c r="B7" s="5"/>
      <c r="C7" s="5"/>
      <c r="D7" s="5"/>
      <c r="E7" s="5"/>
      <c r="F7" s="5"/>
      <c r="G7" s="5"/>
      <c r="H7" s="5"/>
      <c r="I7" s="5"/>
      <c r="J7" s="5"/>
    </row>
    <row r="8" spans="2:10" x14ac:dyDescent="0.3">
      <c r="B8" s="25" t="s">
        <v>112</v>
      </c>
      <c r="C8" s="12"/>
      <c r="D8" s="12"/>
      <c r="E8" s="12"/>
      <c r="F8" s="12"/>
      <c r="G8" s="12"/>
      <c r="H8" s="12"/>
      <c r="I8" s="12"/>
      <c r="J8" s="12"/>
    </row>
    <row r="9" spans="2:10" x14ac:dyDescent="0.3">
      <c r="B9" s="13" t="s">
        <v>46</v>
      </c>
      <c r="C9" s="12"/>
      <c r="D9" s="12"/>
      <c r="E9" s="12"/>
      <c r="F9" s="12"/>
      <c r="G9" s="12"/>
      <c r="H9" s="12"/>
      <c r="I9" s="12"/>
      <c r="J9" s="12"/>
    </row>
    <row r="10" spans="2:10" x14ac:dyDescent="0.3">
      <c r="B10" s="13" t="s">
        <v>43</v>
      </c>
      <c r="C10" s="12"/>
      <c r="D10" s="12"/>
      <c r="E10" s="12"/>
      <c r="F10" s="12"/>
      <c r="G10" s="12"/>
      <c r="H10" s="12"/>
      <c r="I10" s="12"/>
      <c r="J10" s="12"/>
    </row>
    <row r="11" spans="2:10" x14ac:dyDescent="0.3">
      <c r="B11" s="13" t="s">
        <v>61</v>
      </c>
      <c r="C11" s="12"/>
      <c r="D11" s="12"/>
      <c r="E11" s="12"/>
      <c r="F11" s="12"/>
      <c r="G11" s="12"/>
      <c r="H11" s="12"/>
      <c r="I11" s="12"/>
      <c r="J11" s="12"/>
    </row>
    <row r="12" spans="2:10" x14ac:dyDescent="0.3">
      <c r="B12" s="13" t="s">
        <v>31</v>
      </c>
      <c r="C12" s="12"/>
      <c r="D12" s="12"/>
      <c r="E12" s="12"/>
      <c r="F12" s="12"/>
      <c r="G12" s="12"/>
      <c r="H12" s="12"/>
      <c r="I12" s="12"/>
      <c r="J12" s="12"/>
    </row>
    <row r="13" spans="2:10" x14ac:dyDescent="0.3">
      <c r="B13" s="13" t="s">
        <v>50</v>
      </c>
      <c r="C13" s="12"/>
      <c r="D13" s="12"/>
      <c r="E13" s="12"/>
      <c r="F13" s="12"/>
      <c r="G13" s="12"/>
      <c r="H13" s="12"/>
      <c r="I13" s="12"/>
      <c r="J13" s="12"/>
    </row>
    <row r="14" spans="2:10" x14ac:dyDescent="0.3">
      <c r="B14" s="14" t="s">
        <v>55</v>
      </c>
      <c r="C14" s="12"/>
      <c r="D14" s="12"/>
      <c r="E14" s="12"/>
      <c r="F14" s="12"/>
      <c r="G14" s="12"/>
      <c r="H14" s="12"/>
      <c r="I14" s="12"/>
      <c r="J14" s="12"/>
    </row>
    <row r="15" spans="2:10" x14ac:dyDescent="0.3">
      <c r="B15" s="3"/>
      <c r="C15" s="12"/>
      <c r="D15" s="12"/>
      <c r="E15" s="12"/>
      <c r="F15" s="12"/>
      <c r="G15" s="12"/>
      <c r="H15" s="12"/>
      <c r="I15" s="12"/>
      <c r="J15" s="12"/>
    </row>
    <row r="16" spans="2:10" x14ac:dyDescent="0.3">
      <c r="B16" s="26" t="s">
        <v>113</v>
      </c>
      <c r="C16" s="12"/>
      <c r="D16" s="12"/>
      <c r="E16" s="12"/>
      <c r="F16" s="12"/>
      <c r="G16" s="12"/>
      <c r="H16" s="12"/>
      <c r="I16" s="12"/>
      <c r="J16" s="12"/>
    </row>
    <row r="17" spans="2:10" x14ac:dyDescent="0.3">
      <c r="B17" s="15" t="s">
        <v>114</v>
      </c>
      <c r="C17" s="12"/>
      <c r="D17" s="12"/>
      <c r="E17" s="12"/>
      <c r="F17" s="12"/>
      <c r="G17" s="12"/>
      <c r="H17" s="12"/>
      <c r="I17" s="12"/>
      <c r="J17" s="12"/>
    </row>
    <row r="18" spans="2:10" x14ac:dyDescent="0.3">
      <c r="B18" s="15" t="s">
        <v>115</v>
      </c>
      <c r="C18" s="12"/>
      <c r="D18" s="12"/>
      <c r="E18" s="12"/>
      <c r="F18" s="12"/>
      <c r="G18" s="12"/>
      <c r="H18" s="12"/>
      <c r="I18" s="12"/>
      <c r="J18" s="12"/>
    </row>
    <row r="19" spans="2:10" x14ac:dyDescent="0.3">
      <c r="B19" s="16" t="s">
        <v>116</v>
      </c>
      <c r="C19" s="12"/>
      <c r="D19" s="12"/>
      <c r="E19" s="12"/>
      <c r="F19" s="12"/>
      <c r="G19" s="12"/>
      <c r="H19" s="12"/>
      <c r="I19" s="12"/>
      <c r="J19" s="12"/>
    </row>
    <row r="20" spans="2:10" x14ac:dyDescent="0.3">
      <c r="B20" s="3"/>
      <c r="C20" s="12"/>
      <c r="D20" s="12"/>
      <c r="E20" s="12"/>
      <c r="F20" s="12"/>
      <c r="G20" s="12"/>
      <c r="H20" s="12"/>
      <c r="I20" s="12"/>
      <c r="J20" s="12"/>
    </row>
    <row r="21" spans="2:10" x14ac:dyDescent="0.3">
      <c r="B21" s="26" t="s">
        <v>117</v>
      </c>
      <c r="C21" s="12"/>
      <c r="D21" s="12"/>
      <c r="E21" s="12"/>
      <c r="F21" s="12"/>
      <c r="G21" s="12"/>
      <c r="H21" s="12"/>
      <c r="I21" s="12"/>
      <c r="J21" s="12"/>
    </row>
    <row r="22" spans="2:10" x14ac:dyDescent="0.3">
      <c r="B22" s="17">
        <v>45658</v>
      </c>
      <c r="C22" s="12"/>
      <c r="D22" s="12"/>
      <c r="E22" s="12"/>
      <c r="F22" s="12"/>
      <c r="G22" s="12"/>
      <c r="H22" s="12"/>
      <c r="I22" s="12"/>
      <c r="J22" s="12"/>
    </row>
    <row r="23" spans="2:10" x14ac:dyDescent="0.3">
      <c r="B23" s="18" t="s">
        <v>118</v>
      </c>
      <c r="C23" s="12"/>
      <c r="D23" s="12"/>
      <c r="E23" s="12"/>
      <c r="F23" s="12"/>
      <c r="G23" s="12"/>
      <c r="H23" s="12"/>
      <c r="I23" s="12"/>
      <c r="J23" s="12"/>
    </row>
    <row r="24" spans="2:10" x14ac:dyDescent="0.3">
      <c r="B24" s="12"/>
      <c r="C24" s="12"/>
      <c r="D24" s="12"/>
      <c r="E24" s="12"/>
      <c r="F24" s="12"/>
      <c r="G24" s="12"/>
      <c r="H24" s="12"/>
      <c r="I24" s="12"/>
      <c r="J24" s="12"/>
    </row>
    <row r="25" spans="2:10" x14ac:dyDescent="0.3">
      <c r="B25" s="27" t="s">
        <v>119</v>
      </c>
      <c r="C25" s="28" t="s">
        <v>120</v>
      </c>
      <c r="D25" s="28" t="s">
        <v>121</v>
      </c>
      <c r="E25" s="29"/>
      <c r="F25" s="29"/>
      <c r="G25" s="29"/>
      <c r="H25" s="29"/>
      <c r="I25" s="29"/>
      <c r="J25" s="30"/>
    </row>
    <row r="26" spans="2:10" x14ac:dyDescent="0.3">
      <c r="B26" s="19" t="s">
        <v>56</v>
      </c>
      <c r="C26" s="50">
        <v>0</v>
      </c>
      <c r="D26" s="12" t="s">
        <v>57</v>
      </c>
      <c r="E26" s="12" t="s">
        <v>122</v>
      </c>
      <c r="F26" s="12" t="s">
        <v>123</v>
      </c>
      <c r="G26" s="12" t="s">
        <v>33</v>
      </c>
      <c r="H26" s="12"/>
      <c r="I26" s="12"/>
      <c r="J26" s="20"/>
    </row>
    <row r="27" spans="2:10" x14ac:dyDescent="0.3">
      <c r="B27" s="19" t="s">
        <v>32</v>
      </c>
      <c r="C27" s="50">
        <v>50</v>
      </c>
      <c r="D27" s="12" t="s">
        <v>41</v>
      </c>
      <c r="E27" s="12" t="s">
        <v>124</v>
      </c>
      <c r="F27" s="12" t="s">
        <v>36</v>
      </c>
      <c r="G27" s="12" t="s">
        <v>125</v>
      </c>
      <c r="H27" s="12" t="s">
        <v>40</v>
      </c>
      <c r="I27" s="12" t="s">
        <v>33</v>
      </c>
      <c r="J27" s="20"/>
    </row>
    <row r="28" spans="2:10" x14ac:dyDescent="0.3">
      <c r="B28" s="19" t="s">
        <v>126</v>
      </c>
      <c r="C28" s="50">
        <v>40</v>
      </c>
      <c r="D28" s="12" t="s">
        <v>127</v>
      </c>
      <c r="E28" s="12" t="s">
        <v>128</v>
      </c>
      <c r="F28" s="12" t="s">
        <v>129</v>
      </c>
      <c r="G28" s="12" t="s">
        <v>40</v>
      </c>
      <c r="H28" s="12" t="s">
        <v>33</v>
      </c>
      <c r="I28" s="12"/>
      <c r="J28" s="20"/>
    </row>
    <row r="29" spans="2:10" x14ac:dyDescent="0.3">
      <c r="B29" s="19" t="s">
        <v>38</v>
      </c>
      <c r="C29" s="50">
        <v>25</v>
      </c>
      <c r="D29" s="12" t="s">
        <v>44</v>
      </c>
      <c r="E29" s="12" t="s">
        <v>39</v>
      </c>
      <c r="F29" s="12" t="s">
        <v>47</v>
      </c>
      <c r="G29" s="12" t="s">
        <v>130</v>
      </c>
      <c r="H29" s="12" t="s">
        <v>40</v>
      </c>
      <c r="I29" s="12" t="s">
        <v>33</v>
      </c>
      <c r="J29" s="20"/>
    </row>
    <row r="30" spans="2:10" x14ac:dyDescent="0.3">
      <c r="B30" s="19" t="s">
        <v>51</v>
      </c>
      <c r="C30" s="50">
        <v>30</v>
      </c>
      <c r="D30" s="12" t="s">
        <v>52</v>
      </c>
      <c r="E30" s="12" t="s">
        <v>131</v>
      </c>
      <c r="F30" s="12" t="s">
        <v>132</v>
      </c>
      <c r="G30" s="12" t="s">
        <v>133</v>
      </c>
      <c r="H30" s="12" t="s">
        <v>40</v>
      </c>
      <c r="I30" s="12" t="s">
        <v>33</v>
      </c>
      <c r="J30" s="20"/>
    </row>
    <row r="31" spans="2:10" x14ac:dyDescent="0.3">
      <c r="B31" s="21" t="s">
        <v>105</v>
      </c>
      <c r="C31" s="50">
        <v>30</v>
      </c>
      <c r="D31" s="12" t="s">
        <v>134</v>
      </c>
      <c r="E31" s="12" t="s">
        <v>106</v>
      </c>
      <c r="F31" s="12" t="s">
        <v>107</v>
      </c>
      <c r="G31" s="12" t="s">
        <v>135</v>
      </c>
      <c r="H31" s="12" t="s">
        <v>136</v>
      </c>
      <c r="I31" s="12" t="s">
        <v>40</v>
      </c>
      <c r="J31" s="20" t="s">
        <v>33</v>
      </c>
    </row>
    <row r="32" spans="2:10" x14ac:dyDescent="0.3">
      <c r="B32" s="22" t="s">
        <v>54</v>
      </c>
      <c r="C32" s="51">
        <v>10</v>
      </c>
      <c r="D32" s="23" t="s">
        <v>33</v>
      </c>
      <c r="E32" s="23"/>
      <c r="F32" s="23"/>
      <c r="G32" s="23"/>
      <c r="H32" s="23"/>
      <c r="I32" s="23"/>
      <c r="J32" s="24"/>
    </row>
    <row r="33" spans="2:10" x14ac:dyDescent="0.3">
      <c r="B33" s="12"/>
      <c r="C33" s="12"/>
      <c r="D33" s="12"/>
      <c r="E33" s="12"/>
      <c r="F33" s="12"/>
      <c r="G33" s="12"/>
      <c r="H33" s="12"/>
      <c r="I33" s="12"/>
      <c r="J33" s="12"/>
    </row>
    <row r="34" spans="2:10" x14ac:dyDescent="0.3">
      <c r="B34" s="33" t="s">
        <v>137</v>
      </c>
      <c r="C34" s="34" t="s">
        <v>138</v>
      </c>
      <c r="D34" s="12"/>
      <c r="E34" s="12"/>
      <c r="F34" s="12"/>
      <c r="G34" s="12"/>
      <c r="H34" s="12"/>
      <c r="I34" s="12"/>
      <c r="J34" s="12"/>
    </row>
    <row r="35" spans="2:10" x14ac:dyDescent="0.3">
      <c r="B35" s="21" t="s">
        <v>30</v>
      </c>
      <c r="C35" s="31" t="s">
        <v>139</v>
      </c>
      <c r="D35" s="12"/>
      <c r="E35" s="12"/>
      <c r="F35" s="12"/>
      <c r="G35" s="12"/>
      <c r="H35" s="12"/>
      <c r="I35" s="12"/>
      <c r="J35" s="12"/>
    </row>
    <row r="36" spans="2:10" x14ac:dyDescent="0.3">
      <c r="B36" s="21" t="s">
        <v>35</v>
      </c>
      <c r="C36" s="20" t="s">
        <v>140</v>
      </c>
      <c r="D36" s="12"/>
      <c r="E36" s="12"/>
      <c r="F36" s="12"/>
      <c r="G36" s="12"/>
      <c r="H36" s="12"/>
      <c r="I36" s="12"/>
      <c r="J36" s="12"/>
    </row>
    <row r="37" spans="2:10" x14ac:dyDescent="0.3">
      <c r="B37" s="21" t="s">
        <v>49</v>
      </c>
      <c r="C37" s="20" t="s">
        <v>49</v>
      </c>
      <c r="D37" s="12"/>
      <c r="E37" s="12"/>
      <c r="F37" s="12"/>
      <c r="G37" s="12"/>
      <c r="H37" s="12"/>
      <c r="I37" s="12"/>
      <c r="J37" s="12"/>
    </row>
    <row r="38" spans="2:10" x14ac:dyDescent="0.3">
      <c r="B38" s="21" t="s">
        <v>141</v>
      </c>
      <c r="C38" s="20" t="s">
        <v>142</v>
      </c>
      <c r="D38" s="12"/>
      <c r="E38" s="12"/>
      <c r="F38" s="12"/>
      <c r="G38" s="12"/>
      <c r="H38" s="12"/>
      <c r="I38" s="12"/>
      <c r="J38" s="12"/>
    </row>
    <row r="39" spans="2:10" x14ac:dyDescent="0.3">
      <c r="B39" s="32" t="s">
        <v>54</v>
      </c>
      <c r="C39" s="24" t="s">
        <v>143</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CORCHUELO GIL</dc:creator>
  <cp:keywords/>
  <dc:description/>
  <cp:lastModifiedBy>Ángel Sanchez</cp:lastModifiedBy>
  <cp:revision/>
  <dcterms:created xsi:type="dcterms:W3CDTF">2024-04-15T09:22:17Z</dcterms:created>
  <dcterms:modified xsi:type="dcterms:W3CDTF">2026-05-20T21:48:28Z</dcterms:modified>
  <cp:category/>
  <cp:contentStatus/>
</cp:coreProperties>
</file>